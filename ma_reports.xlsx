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0afe7de70b4f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07f13da759a478f"/>
    <x:sheet xmlns:r="http://schemas.openxmlformats.org/officeDocument/2006/relationships" name="Reference_List" sheetId="2" r:id="R78343ee810d94741"/>
    <x:sheet xmlns:r="http://schemas.openxmlformats.org/officeDocument/2006/relationships" name="Source_Audit" sheetId="3" r:id="R77ed8281e74f404b"/>
    <x:sheet xmlns:r="http://schemas.openxmlformats.org/officeDocument/2006/relationships" name="Annual_Merger_Core" sheetId="4" r:id="R2ca770097e124eff"/>
    <x:sheet xmlns:r="http://schemas.openxmlformats.org/officeDocument/2006/relationships" name="Notification_Category" sheetId="5" r:id="Rdfba9a4a306d45a2"/>
    <x:sheet xmlns:r="http://schemas.openxmlformats.org/officeDocument/2006/relationships" name="Phase_Complexity" sheetId="6" r:id="R245faa51e47f4ada"/>
    <x:sheet xmlns:r="http://schemas.openxmlformats.org/officeDocument/2006/relationships" name="Turnaround_Performance" sheetId="7" r:id="Rdf0cf094d1724631"/>
    <x:sheet xmlns:r="http://schemas.openxmlformats.org/officeDocument/2006/relationships" name="Sector_Data" sheetId="8" r:id="Rbba21a96bf274c4c"/>
    <x:sheet xmlns:r="http://schemas.openxmlformats.org/officeDocument/2006/relationships" name="Outcomes_Remedies" sheetId="9" r:id="R7c21befdede0418a"/>
    <x:sheet xmlns:r="http://schemas.openxmlformats.org/officeDocument/2006/relationships" name="Public_Interest" sheetId="10" r:id="Redc2c90e93f64c07"/>
    <x:sheet xmlns:r="http://schemas.openxmlformats.org/officeDocument/2006/relationships" name="Small_Mergers" sheetId="11" r:id="R3b65eac3cb814882"/>
    <x:sheet xmlns:r="http://schemas.openxmlformats.org/officeDocument/2006/relationships" name="Workload_Resources" sheetId="12" r:id="R955b9bdbb0e94850"/>
    <x:sheet xmlns:r="http://schemas.openxmlformats.org/officeDocument/2006/relationships" name="Threshold_Commentary" sheetId="13" r:id="R8ca6623f5c594b73"/>
    <x:sheet xmlns:r="http://schemas.openxmlformats.org/officeDocument/2006/relationships" name="Narrative_Explanations" sheetId="14" r:id="R2e6f9c43d5844447"/>
    <x:sheet xmlns:r="http://schemas.openxmlformats.org/officeDocument/2006/relationships" name="Notable_Merger_Cases" sheetId="15" r:id="R1b003a26474b4c92"/>
    <x:sheet xmlns:r="http://schemas.openxmlformats.org/officeDocument/2006/relationships" name="Legislative_Changes" sheetId="16" r:id="R11570798e0ec45bc"/>
    <x:sheet xmlns:r="http://schemas.openxmlformats.org/officeDocument/2006/relationships" name="Definitions" sheetId="17" r:id="R9f5f2f5de76b4015"/>
    <x:sheet xmlns:r="http://schemas.openxmlformats.org/officeDocument/2006/relationships" name="Coverage_Gaps" sheetId="18" r:id="R569c9577189b4ff3"/>
    <x:sheet xmlns:r="http://schemas.openxmlformats.org/officeDocument/2006/relationships" name="Discrepancies" sheetId="19" r:id="R8dad3451206f48ad"/>
    <x:sheet xmlns:r="http://schemas.openxmlformats.org/officeDocument/2006/relationships" name="Research_Ready_Series" sheetId="20" r:id="Ra4a1d2c8e02a49ad"/>
    <x:sheet xmlns:r="http://schemas.openxmlformats.org/officeDocument/2006/relationships" name="Dashboard" sheetId="21" r:id="R93d3dff105514b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"/>
    <x:numFmt numFmtId="202" formatCode="0.00"/>
    <x:numFmt numFmtId="203" formatCode="0.0000"/>
  </x:numFmts>
  <x:fonts count="4">
    <x:font>
      <x:sz val="11"/>
      <x:name val="Carlito"/>
    </x:font>
    <x:font>
      <x:b/>
      <x:sz val="11"/>
      <x:color rgb="FFFFFFFF"/>
      <x:name val="Carlito"/>
    </x:font>
    <x:font>
      <x:i/>
      <x:sz val="11"/>
      <x:color rgb="FF595959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0F6B78"/>
      </x:patternFill>
    </x:fill>
    <x:fill>
      <x:patternFill patternType="solid">
        <x:fgColor rgb="FFF2F2F2"/>
      </x:patternFill>
    </x:fill>
    <x:fill>
      <x:patternFill patternType="solid">
        <x:fgColor rgb="FFF8FBFD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6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200" fontId="3" fillId="3" borderId="0" xfId="0" applyNumberFormat="1" applyFont="1" applyFill="1" applyBorder="1" applyAlignment="1">
      <x:alignment horizontal="center"/>
    </x:xf>
    <x:xf numFmtId="200" fontId="3" fillId="3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0"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8043a424ac4f9c" /><Relationship Type="http://schemas.openxmlformats.org/officeDocument/2006/relationships/theme" Target="/xl/theme/theme1.xml" Id="Rdbf4f108b0844995" /><Relationship Type="http://schemas.openxmlformats.org/officeDocument/2006/relationships/sharedStrings" Target="/xl/sharedStrings.xml" Id="Rb7ad46e6ae19479e" /><Relationship Type="http://schemas.openxmlformats.org/officeDocument/2006/relationships/worksheet" Target="/xl/worksheets/sheet1.xml" Id="R407f13da759a478f" /><Relationship Type="http://schemas.openxmlformats.org/officeDocument/2006/relationships/worksheet" Target="/xl/worksheets/sheet2.xml" Id="R78343ee810d94741" /><Relationship Type="http://schemas.openxmlformats.org/officeDocument/2006/relationships/worksheet" Target="/xl/worksheets/sheet3.xml" Id="R77ed8281e74f404b" /><Relationship Type="http://schemas.openxmlformats.org/officeDocument/2006/relationships/worksheet" Target="/xl/worksheets/sheet4.xml" Id="R2ca770097e124eff" /><Relationship Type="http://schemas.openxmlformats.org/officeDocument/2006/relationships/worksheet" Target="/xl/worksheets/sheet5.xml" Id="Rdfba9a4a306d45a2" /><Relationship Type="http://schemas.openxmlformats.org/officeDocument/2006/relationships/worksheet" Target="/xl/worksheets/sheet6.xml" Id="R245faa51e47f4ada" /><Relationship Type="http://schemas.openxmlformats.org/officeDocument/2006/relationships/worksheet" Target="/xl/worksheets/sheet7.xml" Id="Rdf0cf094d1724631" /><Relationship Type="http://schemas.openxmlformats.org/officeDocument/2006/relationships/worksheet" Target="/xl/worksheets/sheet8.xml" Id="Rbba21a96bf274c4c" /><Relationship Type="http://schemas.openxmlformats.org/officeDocument/2006/relationships/worksheet" Target="/xl/worksheets/sheet9.xml" Id="R7c21befdede0418a" /><Relationship Type="http://schemas.openxmlformats.org/officeDocument/2006/relationships/worksheet" Target="/xl/worksheets/sheet10.xml" Id="Redc2c90e93f64c07" /><Relationship Type="http://schemas.openxmlformats.org/officeDocument/2006/relationships/worksheet" Target="/xl/worksheets/sheet11.xml" Id="R3b65eac3cb814882" /><Relationship Type="http://schemas.openxmlformats.org/officeDocument/2006/relationships/worksheet" Target="/xl/worksheets/sheet12.xml" Id="R955b9bdbb0e94850" /><Relationship Type="http://schemas.openxmlformats.org/officeDocument/2006/relationships/worksheet" Target="/xl/worksheets/sheet13.xml" Id="R8ca6623f5c594b73" /><Relationship Type="http://schemas.openxmlformats.org/officeDocument/2006/relationships/worksheet" Target="/xl/worksheets/sheet14.xml" Id="R2e6f9c43d5844447" /><Relationship Type="http://schemas.openxmlformats.org/officeDocument/2006/relationships/worksheet" Target="/xl/worksheets/sheet15.xml" Id="R1b003a26474b4c92" /><Relationship Type="http://schemas.openxmlformats.org/officeDocument/2006/relationships/worksheet" Target="/xl/worksheets/sheet16.xml" Id="R11570798e0ec45bc" /><Relationship Type="http://schemas.openxmlformats.org/officeDocument/2006/relationships/worksheet" Target="/xl/worksheets/sheet17.xml" Id="R9f5f2f5de76b4015" /><Relationship Type="http://schemas.openxmlformats.org/officeDocument/2006/relationships/worksheet" Target="/xl/worksheets/sheet18.xml" Id="R569c9577189b4ff3" /><Relationship Type="http://schemas.openxmlformats.org/officeDocument/2006/relationships/worksheet" Target="/xl/worksheets/sheet19.xml" Id="R8dad3451206f48ad" /><Relationship Type="http://schemas.openxmlformats.org/officeDocument/2006/relationships/worksheet" Target="/xl/worksheets/sheet20.xml" Id="Ra4a1d2c8e02a49ad" /><Relationship Type="http://schemas.openxmlformats.org/officeDocument/2006/relationships/worksheet" Target="/xl/worksheets/sheet21.xml" Id="R93d3dff105514b3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862aa261cbd48d2" /><Relationship Type="http://schemas.openxmlformats.org/officeDocument/2006/relationships/chart" Target="/xl/drawings/charts/chart2.xml" Id="Rac21af1267424017" /><Relationship Type="http://schemas.openxmlformats.org/officeDocument/2006/relationships/chart" Target="/xl/drawings/charts/chart3.xml" Id="R79873a99a9714c1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Notifications and finalisations</a:t>
            </a:r>
          </a:p>
        </c:rich>
      </c:tx>
    </c:title>
    <c:plotArea>
      <c:lineChart>
        <c:grouping val="standard"/>
        <c:ser>
          <c:idx val="0"/>
          <c:order val="0"/>
          <c:tx>
            <c:v>Notifications</c:v>
          </c:tx>
          <c:marker>
            <c:symbol val="none"/>
          </c:marker>
          <c:cat>
            <c:strRef>
              <c:f>'Dashboard'!$A$15:$A$38</c:f>
              <c:strCache>
                <c:ptCount val="0"/>
              </c:strCache>
            </c:strRef>
          </c:cat>
          <c:val>
            <c:numRef>
              <c:f>'Dashboard'!$B$15:$B$38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Finalised</c:v>
          </c:tx>
          <c:marker>
            <c:symbol val="none"/>
          </c:marker>
          <c:cat>
            <c:strRef>
              <c:f>'Dashboard'!$A$15:$A$38</c:f>
              <c:strCache>
                <c:ptCount val="0"/>
              </c:strCache>
            </c:strRef>
          </c:cat>
          <c:val>
            <c:numRef>
              <c:f>'Dashboard'!$C$15:$C$38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Routine vs complex composition</a:t>
            </a:r>
          </a:p>
        </c:rich>
      </c:tx>
    </c:title>
    <c:plotArea>
      <c:lineChart>
        <c:grouping val="standard"/>
        <c:ser>
          <c:idx val="0"/>
          <c:order val="0"/>
          <c:tx>
            <c:v>Phase 1 share</c:v>
          </c:tx>
          <c:marker>
            <c:symbol val="none"/>
          </c:marker>
          <c:cat>
            <c:strRef>
              <c:f>'Dashboard'!$E$15:$E$30</c:f>
              <c:strCache>
                <c:ptCount val="0"/>
              </c:strCache>
            </c:strRef>
          </c:cat>
          <c:val>
            <c:numRef>
              <c:f>'Dashboard'!$F$15:$F$30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Complex share</c:v>
          </c:tx>
          <c:marker>
            <c:symbol val="none"/>
          </c:marker>
          <c:cat>
            <c:strRef>
              <c:f>'Dashboard'!$E$15:$E$30</c:f>
              <c:strCache>
                <c:ptCount val="0"/>
              </c:strCache>
            </c:strRef>
          </c:cat>
          <c:val>
            <c:numRef>
              <c:f>'Dashboard'!$G$15:$G$30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Conditional approval share</a:t>
            </a:r>
          </a:p>
        </c:rich>
      </c:tx>
    </c:title>
    <c:plotArea>
      <c:lineChart>
        <c:grouping val="standard"/>
        <c:ser>
          <c:idx val="0"/>
          <c:order val="0"/>
          <c:tx>
            <c:v>Conditional share</c:v>
          </c:tx>
          <c:marker>
            <c:symbol val="none"/>
          </c:marker>
          <c:cat>
            <c:strRef>
              <c:f>'Dashboard'!$I$15:$I$38</c:f>
              <c:strCache>
                <c:ptCount val="0"/>
              </c:strCache>
            </c:strRef>
          </c:cat>
          <c:val>
            <c:numRef>
              <c:f>'Dashboard'!$J$15:$J$38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41</xdr:row>
      <xdr:rowOff>0</xdr:rowOff>
    </xdr:from>
    <xdr:to>
      <xdr:col>6</xdr:col>
      <xdr:colOff>0</xdr:colOff>
      <xdr:row>59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862aa261cbd48d2"/>
        </a:graphicData>
      </a:graphic>
    </xdr:graphicFrame>
    <xdr:clientData/>
  </xdr:twoCellAnchor>
  <xdr:twoCellAnchor>
    <xdr:from>
      <xdr:col>6</xdr:col>
      <xdr:colOff>0</xdr:colOff>
      <xdr:row>41</xdr:row>
      <xdr:rowOff>0</xdr:rowOff>
    </xdr:from>
    <xdr:to>
      <xdr:col>12</xdr:col>
      <xdr:colOff>0</xdr:colOff>
      <xdr:row>59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c21af1267424017"/>
        </a:graphicData>
      </a:graphic>
    </xdr:graphicFrame>
    <xdr:clientData/>
  </xdr:twoCellAnchor>
  <xdr:twoCellAnchor>
    <xdr:from>
      <xdr:col>0</xdr:col>
      <xdr:colOff>0</xdr:colOff>
      <xdr:row>60</xdr:row>
      <xdr:rowOff>0</xdr:rowOff>
    </xdr:from>
    <xdr:to>
      <xdr:col>6</xdr:col>
      <xdr:colOff>0</xdr:colOff>
      <xdr:row>78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873a99a9714c1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admeTable" displayName="ReadmeTable" ref="A4:D16" headerRowCount="1" totalsRowCount="0" totalsRowShown="0">
  <x:tableColumns count="4">
    <x:tableColumn id="1" name="Item"/>
    <x:tableColumn id="2" name="Research protocol"/>
    <x:tableColumn id="3" name="Status"/>
    <x:tableColumn id="4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ferenceListTable" displayName="ReferenceListTable" ref="A4:I28" headerRowCount="1" totalsRowCount="0" totalsRowShown="0">
  <x:tableColumns count="9">
    <x:tableColumn id="1" name="Financial year / coverage"/>
    <x:tableColumn id="2" name="Institutional author"/>
    <x:tableColumn id="3" name="Title"/>
    <x:tableColumn id="4" name="Publication year"/>
    <x:tableColumn id="5" name="Harvard-style reference"/>
    <x:tableColumn id="6" name="Current filename"/>
    <x:tableColumn id="7" name="Supply status"/>
    <x:tableColumn id="8" name="Validation note"/>
    <x:tableColumn id="9" name="Source_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AuditTable" displayName="SourceAuditTable" ref="A4:K28" headerRowCount="1" totalsRowCount="0" totalsRowShown="0">
  <x:tableColumns count="11">
    <x:tableColumn id="1" name="Source_ID"/>
    <x:tableColumn id="2" name="Coverage FY"/>
    <x:tableColumn id="3" name="Institutional author"/>
    <x:tableColumn id="4" name="Report title"/>
    <x:tableColumn id="5" name="Publication year"/>
    <x:tableColumn id="6" name="Filename"/>
    <x:tableColumn id="7" name="PDF page(s)"/>
    <x:tableColumn id="8" name="Printed page(s)"/>
    <x:tableColumn id="9" name="Table / figure"/>
    <x:tableColumn id="10" name="Supply / evidence status"/>
    <x:tableColumn id="11" name="Extraction / validation 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nnualMergerCoreTable" displayName="AnnualMergerCoreTable" ref="A4:Z30" headerRowCount="1" totalsRowCount="0" totalsRowShown="0">
  <x:tableColumns count="26">
    <x:tableColumn id="1" name="Financial year"/>
    <x:tableColumn id="2" name="Notified total"/>
    <x:tableColumn id="3" name="Notified large"/>
    <x:tableColumn id="4" name="Notified intermediate"/>
    <x:tableColumn id="5" name="Notified small"/>
    <x:tableColumn id="6" name="Transitional notified"/>
    <x:tableColumn id="7" name="Finalised total"/>
    <x:tableColumn id="8" name="Finalised large"/>
    <x:tableColumn id="9" name="Finalised intermediate"/>
    <x:tableColumn id="10" name="Finalised small"/>
    <x:tableColumn id="11" name="Transitional finalised"/>
    <x:tableColumn id="12" name="Approved total (if only total reported)"/>
    <x:tableColumn id="13" name="Approved without conditions"/>
    <x:tableColumn id="14" name="Approved with conditions"/>
    <x:tableColumn id="15" name="Prohibited"/>
    <x:tableColumn id="16" name="Withdrawn / no jurisdiction"/>
    <x:tableColumn id="17" name="Residual included in finalised?"/>
    <x:tableColumn id="18" name="Evidence status"/>
    <x:tableColumn id="19" name="Source_ID"/>
    <x:tableColumn id="20" name="Primary source"/>
    <x:tableColumn id="21" name="PDF page"/>
    <x:tableColumn id="22" name="Printed page"/>
    <x:tableColumn id="23" name="Notification component check"/>
    <x:tableColumn id="24" name="Finalised-size component check"/>
    <x:tableColumn id="25" name="Outcome check"/>
    <x:tableColumn id="26" name="Validation 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NotificationCategoryTable" displayName="NotificationCategoryTable" ref="A4:L30" headerRowCount="1" totalsRowCount="0" totalsRowShown="0">
  <x:tableColumns count="12">
    <x:tableColumn id="1" name="Financial year"/>
    <x:tableColumn id="2" name="Notified total"/>
    <x:tableColumn id="3" name="Large"/>
    <x:tableColumn id="4" name="Intermediate"/>
    <x:tableColumn id="5" name="Small"/>
    <x:tableColumn id="6" name="Large share"/>
    <x:tableColumn id="7" name="Intermediate share"/>
    <x:tableColumn id="8" name="Small share"/>
    <x:tableColumn id="9" name="Threshold regime"/>
    <x:tableColumn id="10" name="Years since first full FY"/>
    <x:tableColumn id="11" name="Index (reset FY=100)"/>
    <x:tableColumn id="12" name="Source_I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haseComplexityTable" displayName="PhaseComplexityTable" ref="A4:N22" headerRowCount="1" totalsRowCount="0" totalsRowShown="0">
  <x:tableColumns count="14">
    <x:tableColumn id="1" name="Financial year"/>
    <x:tableColumn id="2" name="Phase 1 count"/>
    <x:tableColumn id="3" name="Phase 2 count"/>
    <x:tableColumn id="4" name="Phase 3 combined"/>
    <x:tableColumn id="5" name="Phase 3 small/intermediate"/>
    <x:tableColumn id="6" name="Phase 3 large"/>
    <x:tableColumn id="7" name="Classified total"/>
    <x:tableColumn id="8" name="Complex count"/>
    <x:tableColumn id="9" name="Complex share"/>
    <x:tableColumn id="10" name="Phase 1 share"/>
    <x:tableColumn id="11" name="Source_ID"/>
    <x:tableColumn id="12" name="PDF page"/>
    <x:tableColumn id="13" name="Data-quality note"/>
    <x:tableColumn id="14" name="Research interpreta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urnaroundTable" displayName="TurnaroundTable" ref="A4:J54" headerRowCount="1" totalsRowCount="0" totalsRowShown="0">
  <x:tableColumns count="10">
    <x:tableColumn id="1" name="Financial year"/>
    <x:tableColumn id="2" name="Metric / phase"/>
    <x:tableColumn id="3" name="Service standard (days)"/>
    <x:tableColumn id="4" name="Transactions"/>
    <x:tableColumn id="5" name="Average turnaround (days)"/>
    <x:tableColumn id="6" name="Target met?"/>
    <x:tableColumn id="7" name="Definition / qualification"/>
    <x:tableColumn id="8" name="Source_ID"/>
    <x:tableColumn id="9" name="PDF page"/>
    <x:tableColumn id="10" name="Research no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ectorDataTable" displayName="SectorDataTable" ref="A4:J162" headerRowCount="1" totalsRowCount="0" totalsRowShown="0">
  <x:tableColumns count="10">
    <x:tableColumn id="1" name="Financial year"/>
    <x:tableColumn id="2" name="Raw sector"/>
    <x:tableColumn id="3" name="Harmonised sector"/>
    <x:tableColumn id="4" name="Sector level"/>
    <x:tableColumn id="5" name="Count"/>
    <x:tableColumn id="6" name="Share (%)"/>
    <x:tableColumn id="7" name="Statistic basis"/>
    <x:tableColumn id="8" name="Source_ID"/>
    <x:tableColumn id="9" name="PDF page"/>
    <x:tableColumn id="10" name="No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OutcomesRemediesTable" displayName="OutcomesRemediesTable" ref="A4:P30" headerRowCount="1" totalsRowCount="0" totalsRowShown="0">
  <x:tableColumns count="16">
    <x:tableColumn id="1" name="Financial year"/>
    <x:tableColumn id="2" name="Finalised total"/>
    <x:tableColumn id="3" name="Approved without conditions"/>
    <x:tableColumn id="4" name="Approved with conditions"/>
    <x:tableColumn id="5" name="Prohibited"/>
    <x:tableColumn id="6" name="Withdrawn / no jurisdiction"/>
    <x:tableColumn id="7" name="Conditional share of finalised"/>
    <x:tableColumn id="8" name="Structural remedies"/>
    <x:tableColumn id="9" name="Behavioural remedies"/>
    <x:tableColumn id="10" name="Mixed remedies"/>
    <x:tableColumn id="11" name="PI condition cases"/>
    <x:tableColumn id="12" name="Conditions monitored"/>
    <x:tableColumn id="13" name="Conditions closed"/>
    <x:tableColumn id="14" name="Source_ID"/>
    <x:tableColumn id="15" name="PDF page"/>
    <x:tableColumn id="16" name="Remedy / comparability no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ublicInterestTable" displayName="PublicInterestTable" ref="A4:P20" headerRowCount="1" totalsRowCount="0" totalsRowShown="0">
  <x:tableColumns count="16">
    <x:tableColumn id="1" name="Financial year"/>
    <x:tableColumn id="2" name="PI condition / favourable cases"/>
    <x:tableColumn id="3" name="Jobs lost"/>
    <x:tableColumn id="4" name="Jobs saved"/>
    <x:tableColumn id="5" name="Intended/new jobs"/>
    <x:tableColumn id="6" name="Net job effect"/>
    <x:tableColumn id="7" name="Ownership-condition cases"/>
    <x:tableColumn id="8" name="ESOP cases"/>
    <x:tableColumn id="9" name="HDP ownership cases"/>
    <x:tableColumn id="10" name="ESOP value (Rbn)"/>
    <x:tableColumn id="11" name="HDP transaction value (Rbn)"/>
    <x:tableColumn id="12" name="Supplier/procurement commitments (Rbn)"/>
    <x:tableColumn id="13" name="Other quantitative public-interest measure"/>
    <x:tableColumn id="14" name="Definition / caution"/>
    <x:tableColumn id="15" name="Source_ID"/>
    <x:tableColumn id="16" name="PDF pag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mallMergersTable" displayName="SmallMergersTable" ref="A4:K30" headerRowCount="1" totalsRowCount="0" totalsRowShown="0">
  <x:tableColumns count="11">
    <x:tableColumn id="1" name="Financial year"/>
    <x:tableColumn id="2" name="Small notified"/>
    <x:tableColumn id="3" name="Small finalised"/>
    <x:tableColumn id="4" name="Small approved without conditions"/>
    <x:tableColumn id="5" name="Small approved with conditions"/>
    <x:tableColumn id="6" name="Small prohibited"/>
    <x:tableColumn id="7" name="Small withdrawn / no jurisdiction"/>
    <x:tableColumn id="8" name="Policy / notification basis"/>
    <x:tableColumn id="9" name="Source_ID"/>
    <x:tableColumn id="10" name="PDF page"/>
    <x:tableColumn id="11" name="Reconciliation / cautio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WorkloadResourcesTable" displayName="WorkloadResourcesTable" ref="A4:J21" headerRowCount="1" totalsRowCount="0" totalsRowShown="0">
  <x:tableColumns count="10">
    <x:tableColumn id="1" name="Financial year"/>
    <x:tableColumn id="2" name="Indicator type"/>
    <x:tableColumn id="3" name="Commission-reported evidence"/>
    <x:tableColumn id="4" name="Value"/>
    <x:tableColumn id="5" name="Unit"/>
    <x:tableColumn id="6" name="Research significance"/>
    <x:tableColumn id="7" name="Source_ID"/>
    <x:tableColumn id="8" name="PDF page"/>
    <x:tableColumn id="9" name="Use as workload measure?"/>
    <x:tableColumn id="10" name="Caution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hresholdCommentaryTable" displayName="ThresholdCommentaryTable" ref="A4:J13" headerRowCount="1" totalsRowCount="0" totalsRowShown="0">
  <x:tableColumns count="10">
    <x:tableColumn id="1" name="Financial year"/>
    <x:tableColumn id="2" name="Topic"/>
    <x:tableColumn id="3" name="Policy claim type"/>
    <x:tableColumn id="4" name="Commission statement / paraphrase"/>
    <x:tableColumn id="5" name="Short supporting wording"/>
    <x:tableColumn id="6" name="Page"/>
    <x:tableColumn id="7" name="Source_ID"/>
    <x:tableColumn id="8" name="Claim timing"/>
    <x:tableColumn id="9" name="Researcher interpretation"/>
    <x:tableColumn id="10" name="Structural-break relevanc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NarrativeExplanationsTable" displayName="NarrativeExplanationsTable" ref="A4:H22" headerRowCount="1" totalsRowCount="0" totalsRowShown="0">
  <x:tableColumns count="8">
    <x:tableColumn id="1" name="Financial year"/>
    <x:tableColumn id="2" name="Variable changing"/>
    <x:tableColumn id="3" name="Direction / magnitude"/>
    <x:tableColumn id="4" name="Commission explanation"/>
    <x:tableColumn id="5" name="Page"/>
    <x:tableColumn id="6" name="Source_ID"/>
    <x:tableColumn id="7" name="Interpretation"/>
    <x:tableColumn id="8" name="Research classification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NotableCasesTable" displayName="NotableCasesTable" ref="A4:Q23" headerRowCount="1" totalsRowCount="0" totalsRowShown="0">
  <x:tableColumns count="17">
    <x:tableColumn id="1" name="Financial year"/>
    <x:tableColumn id="2" name="Case"/>
    <x:tableColumn id="3" name="Acquirer"/>
    <x:tableColumn id="4" name="Target"/>
    <x:tableColumn id="5" name="Sector"/>
    <x:tableColumn id="6" name="Size"/>
    <x:tableColumn id="7" name="Phase"/>
    <x:tableColumn id="8" name="Competition concern"/>
    <x:tableColumn id="9" name="Public-interest concern"/>
    <x:tableColumn id="10" name="Commission action"/>
    <x:tableColumn id="11" name="Known outcome"/>
    <x:tableColumn id="12" name="Remedy / condition"/>
    <x:tableColumn id="13" name="Employment / ownership effect"/>
    <x:tableColumn id="14" name="Transaction value"/>
    <x:tableColumn id="15" name="Source_ID"/>
    <x:tableColumn id="16" name="PDF page"/>
    <x:tableColumn id="17" name="Why significant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LegislativeChangesTable" displayName="LegislativeChangesTable" ref="A4:L15" headerRowCount="1" totalsRowCount="0" totalsRowShown="0">
  <x:tableColumns count="12">
    <x:tableColumn id="1" name="Effective period / FY"/>
    <x:tableColumn id="2" name="Change type"/>
    <x:tableColumn id="3" name="Description"/>
    <x:tableColumn id="4" name="Intermediate combined threshold"/>
    <x:tableColumn id="5" name="Intermediate target threshold"/>
    <x:tableColumn id="6" name="Large combined threshold"/>
    <x:tableColumn id="7" name="Large target threshold"/>
    <x:tableColumn id="8" name="Intermediate filing fee"/>
    <x:tableColumn id="9" name="Large filing fee"/>
    <x:tableColumn id="10" name="Structural Break Flag"/>
    <x:tableColumn id="11" name="Source_ID"/>
    <x:tableColumn id="12" name="Research implication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DefinitionsTable" displayName="DefinitionsTable" ref="A4:E20" headerRowCount="1" totalsRowCount="0" totalsRowShown="0">
  <x:tableColumns count="5">
    <x:tableColumn id="1" name="Term"/>
    <x:tableColumn id="2" name="Meaning in reports"/>
    <x:tableColumn id="3" name="Comparability risk"/>
    <x:tableColumn id="4" name="Required treatment"/>
    <x:tableColumn id="5" name="Research use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CoverageGapsTable" displayName="CoverageGapsTable" ref="A4:G14" headerRowCount="1" totalsRowCount="0" totalsRowShown="0">
  <x:tableColumns count="7">
    <x:tableColumn id="1" name="Period / variable"/>
    <x:tableColumn id="2" name="Status"/>
    <x:tableColumn id="3" name="What is available"/>
    <x:tableColumn id="4" name="Gap"/>
    <x:tableColumn id="5" name="Priority"/>
    <x:tableColumn id="6" name="Recommended next source"/>
    <x:tableColumn id="7" name="Why it matter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DiscrepanciesTable" displayName="DiscrepanciesTable" ref="A4:H19" headerRowCount="1" totalsRowCount="0" totalsRowShown="0">
  <x:tableColumns count="8">
    <x:tableColumn id="1" name="Financial year"/>
    <x:tableColumn id="2" name="Variable"/>
    <x:tableColumn id="3" name="Value / interpretation A"/>
    <x:tableColumn id="4" name="Value / interpretation B"/>
    <x:tableColumn id="5" name="Source basis"/>
    <x:tableColumn id="6" name="Canonical treatment"/>
    <x:tableColumn id="7" name="Severity"/>
    <x:tableColumn id="8" name="Research implication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ResearchReadyTable" displayName="ResearchReadyTable" ref="A4:U30" headerRowCount="1" totalsRowCount="0" totalsRowShown="0">
  <x:tableColumns count="21">
    <x:tableColumn id="1" name="Financial year"/>
    <x:tableColumn id="2" name="Notified total"/>
    <x:tableColumn id="3" name="Annual notification growth"/>
    <x:tableColumn id="4" name="Threshold regime"/>
    <x:tableColumn id="5" name="Years since first full FY"/>
    <x:tableColumn id="6" name="Notification index (reset=100)"/>
    <x:tableColumn id="7" name="Finalised total"/>
    <x:tableColumn id="8" name="Unconditional approvals"/>
    <x:tableColumn id="9" name="Conditional approvals"/>
    <x:tableColumn id="10" name="Prohibited"/>
    <x:tableColumn id="11" name="Unconditional approval share"/>
    <x:tableColumn id="12" name="Conditional approval share"/>
    <x:tableColumn id="13" name="Prohibition share"/>
    <x:tableColumn id="14" name="Phase 1 count"/>
    <x:tableColumn id="15" name="Complex count"/>
    <x:tableColumn id="16" name="Phase 1 share"/>
    <x:tableColumn id="17" name="Complex share"/>
    <x:tableColumn id="18" name="Structural break flag"/>
    <x:tableColumn id="19" name="Macro / institutional caution"/>
    <x:tableColumn id="20" name="Core Source_ID"/>
    <x:tableColumn id="21" name="Phase Source_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1366bf52c84de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0e8882bdeec42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4f9ca84d46947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a0fe90089b542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182dbc7ccdf46c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7cdac9bc9524bd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29204e1105e409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f787c134f87473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6d6461033fa46f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3c96eb167904476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ddcda6696a1f421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fb9324bcd6c046f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95da7e72fc284b7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ee944639dde143e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f46395d149df4a2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7b5fab5e6c944255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4c625d0132a24a3f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c7d12217d34f4b85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81d0f4af763749a3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2160bfa21f20414b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drawing" Target="/xl/drawings/drawing1.xml" Id="R13c4de9cd60c4a9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2" hidden="0" customWidth="1"/>
    <x:col min="3" max="3" width="16" hidden="0" customWidth="1"/>
    <x:col min="4" max="4" width="48" hidden="0" customWidth="1"/>
  </x:cols>
  <x:sheetData>
    <x:row r="1" ht="28" customHeight="1">
      <x:c r="A1" s="4" t="str">
        <x:v>Competition Commission M&amp;A Research Database — 1999/00 to 2024/25</x:v>
      </x:c>
      <x:c r="B1" s="4"/>
      <x:c r="C1" s="4"/>
      <x:c r="D1" s="4"/>
    </x:row>
    <x:row r="2" ht="32" customHeight="1">
      <x:c r="A2" s="11" t="str">
        <x:v>Research-grade annual-report extraction for merger-notification thresholds, regulatory workload, complexity, outcomes, public interest and case composition.</x:v>
      </x:c>
      <x:c r="B2" s="11"/>
      <x:c r="C2" s="11"/>
      <x:c r="D2" s="11"/>
    </x:row>
    <x:row r="4" ht="30" customHeight="1">
      <x:c r="A4" s="20" t="str">
        <x:v>Item</x:v>
      </x:c>
      <x:c r="B4" s="20" t="str">
        <x:v>Research protocol</x:v>
      </x:c>
      <x:c r="C4" s="20" t="str">
        <x:v>Status</x:v>
      </x:c>
      <x:c r="D4" s="20" t="str">
        <x:v>Note</x:v>
      </x:c>
    </x:row>
    <x:row r="5">
      <x:c r="A5" s="27" t="str">
        <x:v>Purpose</x:v>
      </x:c>
      <x:c r="B5" s="27" t="str">
        <x:v>Audit-ready database for empirical study of South African merger-notification thresholds, regulatory workload and case composition.</x:v>
      </x:c>
      <x:c r="C5" s="27" t="str">
        <x:v>Implemented</x:v>
      </x:c>
      <x:c r="D5" s="27" t="str"/>
    </x:row>
    <x:row r="6">
      <x:c r="A6" s="27" t="str">
        <x:v>Current report coverage</x:v>
      </x:c>
      <x:c r="B6" s="27" t="str">
        <x:v>Core series runs 1999/00-2024/25. 2001/02 is recovered from a later comparative Commission table; 1998/99 and 2025/26 are outside current series.</x:v>
      </x:c>
      <x:c r="C6" s="27" t="str">
        <x:v>Implemented</x:v>
      </x:c>
      <x:c r="D6" s="27" t="str"/>
    </x:row>
    <x:row r="7">
      <x:c r="A7" s="27" t="str">
        <x:v>Source hierarchy</x:v>
      </x:c>
      <x:c r="B7" s="27" t="str">
        <x:v>Contemporaneous annual report &gt; near-contemporaneous rolling table &gt; later recovery. Conflicts are never silently reconciled.</x:v>
      </x:c>
      <x:c r="C7" s="27" t="str">
        <x:v>Implemented</x:v>
      </x:c>
      <x:c r="D7" s="27" t="str">
        <x:v>See Discrepancies and Source_Audit.</x:v>
      </x:c>
    </x:row>
    <x:row r="8">
      <x:c r="A8" s="27" t="str">
        <x:v>Primary units</x:v>
      </x:c>
      <x:c r="B8" s="27" t="str">
        <x:v>Notification, finalised case, decision/recommendation, phase, sector, remedy/condition and policy statement.</x:v>
      </x:c>
      <x:c r="C8" s="27" t="str">
        <x:v>Implemented</x:v>
      </x:c>
      <x:c r="D8" s="27" t="str"/>
    </x:row>
    <x:row r="9">
      <x:c r="A9" s="27" t="str">
        <x:v>Critical distinction</x:v>
      </x:c>
      <x:c r="B9" s="27" t="str">
        <x:v>Small/intermediate/large = statutory size; Phase 1/2/3 = complexity.</x:v>
      </x:c>
      <x:c r="C9" s="27" t="str">
        <x:v>Implemented</x:v>
      </x:c>
      <x:c r="D9" s="27" t="str">
        <x:v>Do not interchange them.</x:v>
      </x:c>
    </x:row>
    <x:row r="10">
      <x:c r="A10" s="27" t="str">
        <x:v>Finalised definition</x:v>
      </x:c>
      <x:c r="B10" s="27" t="str">
        <x:v>Varies across reports; residual cases are included in some years and separate in others.</x:v>
      </x:c>
      <x:c r="C10" s="27" t="str">
        <x:v>Implemented</x:v>
      </x:c>
      <x:c r="D10" s="27" t="str">
        <x:v>Use residual-inclusion flag.</x:v>
      </x:c>
    </x:row>
    <x:row r="11">
      <x:c r="A11" s="27" t="str">
        <x:v>Small mergers</x:v>
      </x:c>
      <x:c r="B11" s="27" t="str">
        <x:v>Reported small-merger counts are selected voluntary/called-in cases, not the universe below threshold.</x:v>
      </x:c>
      <x:c r="C11" s="27" t="str">
        <x:v>Implemented</x:v>
      </x:c>
      <x:c r="D11" s="27" t="str"/>
    </x:row>
    <x:row r="12">
      <x:c r="A12" s="27" t="str">
        <x:v>Causal scope</x:v>
      </x:c>
      <x:c r="B12" s="27" t="str">
        <x:v>Annual-report patterns are descriptive/institutional. Threshold changes coincide with cycles, recession/Covid and public-interest reforms.</x:v>
      </x:c>
      <x:c r="C12" s="27" t="str">
        <x:v>Implemented</x:v>
      </x:c>
      <x:c r="D12" s="27" t="str">
        <x:v>Before-after changes are not causal estimates.</x:v>
      </x:c>
    </x:row>
    <x:row r="13">
      <x:c r="A13" s="27" t="str">
        <x:v>Missing codes</x:v>
      </x:c>
      <x:c r="B13" s="27" t="str">
        <x:v>NR not reported; NA not applicable; UC unclear; ND not defined; REC recovered.</x:v>
      </x:c>
      <x:c r="C13" s="27" t="str">
        <x:v>Implemented</x:v>
      </x:c>
      <x:c r="D13" s="27" t="str">
        <x:v>Zero used only when explicitly reported.</x:v>
      </x:c>
    </x:row>
    <x:row r="14">
      <x:c r="A14" s="27" t="str">
        <x:v>Threshold-workload sheets</x:v>
      </x:c>
      <x:c r="B14" s="27" t="str">
        <x:v>Research_Ready_Series; Notification_Category; Phase_Complexity; Turnaround_Performance; Workload_Resources; Threshold_Commentary; Narrative_Explanations.</x:v>
      </x:c>
      <x:c r="C14" s="27" t="str">
        <x:v>Implemented</x:v>
      </x:c>
      <x:c r="D14" s="27" t="str"/>
    </x:row>
    <x:row r="15">
      <x:c r="A15" s="27" t="str">
        <x:v>Broader IO sheets</x:v>
      </x:c>
      <x:c r="B15" s="27" t="str">
        <x:v>Sector_Data; Outcomes_Remedies; Public_Interest; Small_Mergers; Notable_Merger_Cases.</x:v>
      </x:c>
      <x:c r="C15" s="27" t="str">
        <x:v>Implemented</x:v>
      </x:c>
      <x:c r="D15" s="27" t="str"/>
    </x:row>
    <x:row r="16">
      <x:c r="A16" s="27" t="str">
        <x:v>Next extension</x:v>
      </x:c>
      <x:c r="B16" s="27" t="str">
        <x:v>Merge with CPI, GDP deflator, nominal/real GDP, market capitalisation and Bloomberg transaction-level data.</x:v>
      </x:c>
      <x:c r="C16" s="27" t="str">
        <x:v>Next</x:v>
      </x:c>
      <x:c r="D16" s="27" t="str">
        <x:v>Keep benchmark concepts distinct.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ca1366bf52c84de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32" hidden="0" customWidth="1"/>
    <x:col min="4" max="4" width="14" hidden="0" customWidth="1"/>
    <x:col min="5" max="5" width="55" hidden="0" customWidth="1"/>
    <x:col min="6" max="6" width="22" hidden="0" customWidth="1"/>
    <x:col min="7" max="7" width="26" hidden="0" customWidth="1"/>
    <x:col min="8" max="8" width="52" hidden="0" customWidth="1"/>
    <x:col min="9" max="9" width="10" hidden="0" customWidth="1"/>
  </x:cols>
  <x:sheetData>
    <x:row r="1" ht="28" customHeight="1">
      <x:c r="A1" s="4" t="str">
        <x:v>Reference List and File Register</x:v>
      </x:c>
      <x:c r="B1" s="4"/>
      <x:c r="C1" s="4"/>
      <x:c r="D1" s="4"/>
      <x:c r="E1" s="4"/>
      <x:c r="F1" s="4"/>
      <x:c r="G1" s="4"/>
      <x:c r="H1" s="4"/>
      <x:c r="I1" s="4"/>
    </x:row>
    <x:row r="2" ht="32" customHeight="1">
      <x:c r="A2" s="11" t="str">
        <x:v>Every research observation links to a Source_ID. PDF page refers to the current uploaded extract/report page index where recorded.</x:v>
      </x:c>
      <x:c r="B2" s="11"/>
      <x:c r="C2" s="11"/>
      <x:c r="D2" s="11"/>
      <x:c r="E2" s="11"/>
      <x:c r="F2" s="11"/>
      <x:c r="G2" s="11"/>
      <x:c r="H2" s="11"/>
      <x:c r="I2" s="11"/>
    </x:row>
    <x:row r="4" ht="30" customHeight="1">
      <x:c r="A4" s="20" t="str">
        <x:v>Financial year / coverage</x:v>
      </x:c>
      <x:c r="B4" s="20" t="str">
        <x:v>Institutional author</x:v>
      </x:c>
      <x:c r="C4" s="20" t="str">
        <x:v>Title</x:v>
      </x:c>
      <x:c r="D4" s="20" t="str">
        <x:v>Publication year</x:v>
      </x:c>
      <x:c r="E4" s="20" t="str">
        <x:v>Harvard-style reference</x:v>
      </x:c>
      <x:c r="F4" s="20" t="str">
        <x:v>Current filename</x:v>
      </x:c>
      <x:c r="G4" s="20" t="str">
        <x:v>Supply status</x:v>
      </x:c>
      <x:c r="H4" s="20" t="str">
        <x:v>Validation note</x:v>
      </x:c>
      <x:c r="I4" s="20" t="str">
        <x:v>Source_ID</x:v>
      </x:c>
    </x:row>
    <x:row r="5">
      <x:c r="A5" s="27" t="str">
        <x:v>1999/00; 2000/01</x:v>
      </x:c>
      <x:c r="B5" s="27" t="str">
        <x:v>Competition Commission South Africa</x:v>
      </x:c>
      <x:c r="C5" s="27" t="str">
        <x:v>Annual Report 2001</x:v>
      </x:c>
      <x:c r="D5" s="27" t="n">
        <x:v>2001</x:v>
      </x:c>
      <x:c r="E5" s="27" t="str">
        <x:v>Competition Commission South Africa (2001) Annual Report 2001. Pretoria: Competition Commission South Africa.</x:v>
      </x:c>
      <x:c r="F5" s="27" t="str">
        <x:v>2001.pdf</x:v>
      </x:c>
      <x:c r="G5" s="27" t="str">
        <x:v>Direct current-conversation upload</x:v>
      </x:c>
      <x:c r="H5" s="27" t="str">
        <x:v>Contains 1999/00 and 2000/01 headline merger statistics; 1999/00 used transitional category.</x:v>
      </x:c>
      <x:c r="I5" s="27" t="str">
        <x:v>S001</x:v>
      </x:c>
    </x:row>
    <x:row r="6">
      <x:c r="A6" s="27" t="str">
        <x:v>2001/02; 2002/03</x:v>
      </x:c>
      <x:c r="B6" s="27" t="str">
        <x:v>Competition Commission South Africa</x:v>
      </x:c>
      <x:c r="C6" s="27" t="str">
        <x:v>Annual Report 2002/2003</x:v>
      </x:c>
      <x:c r="D6" s="27" t="n">
        <x:v>2003</x:v>
      </x:c>
      <x:c r="E6" s="27" t="str">
        <x:v>Competition Commission South Africa (2003) Annual Report 2002/2003. Pretoria: Competition Commission South Africa.</x:v>
      </x:c>
      <x:c r="F6" s="27" t="str">
        <x:v>2003.pdf</x:v>
      </x:c>
      <x:c r="G6" s="27" t="str">
        <x:v>Direct current-conversation upload</x:v>
      </x:c>
      <x:c r="H6" s="27" t="str">
        <x:v>Used to recover early-year core statistics where original 2001/02 report is not in current bundle.</x:v>
      </x:c>
      <x:c r="I6" s="27" t="str">
        <x:v>S002</x:v>
      </x:c>
    </x:row>
    <x:row r="7">
      <x:c r="A7" s="27" t="str">
        <x:v>2003/04</x:v>
      </x:c>
      <x:c r="B7" s="27" t="str">
        <x:v>Competition Commission South Africa</x:v>
      </x:c>
      <x:c r="C7" s="27" t="str">
        <x:v>Annual Report 2004</x:v>
      </x:c>
      <x:c r="D7" s="27" t="n">
        <x:v>2004</x:v>
      </x:c>
      <x:c r="E7" s="27" t="str">
        <x:v>Competition Commission South Africa (2004) Annual Report 2004. Pretoria: Competition Commission South Africa.</x:v>
      </x:c>
      <x:c r="F7" s="27" t="str">
        <x:v>2004.pdf</x:v>
      </x:c>
      <x:c r="G7" s="27" t="str">
        <x:v>Direct current-conversation upload</x:v>
      </x:c>
      <x:c r="H7" s="27" t="str">
        <x:v>Contemporaneous 2003/04 core figures.</x:v>
      </x:c>
      <x:c r="I7" s="27" t="str">
        <x:v>S003</x:v>
      </x:c>
    </x:row>
    <x:row r="8">
      <x:c r="A8" s="27" t="str">
        <x:v>2004/05</x:v>
      </x:c>
      <x:c r="B8" s="27" t="str">
        <x:v>Competition Commission South Africa</x:v>
      </x:c>
      <x:c r="C8" s="27" t="str">
        <x:v>Annual Report 2004/05</x:v>
      </x:c>
      <x:c r="D8" s="27" t="n">
        <x:v>2005</x:v>
      </x:c>
      <x:c r="E8" s="27" t="str">
        <x:v>Competition Commission South Africa (2005) Annual Report 2004/05. Pretoria: Competition Commission South Africa.</x:v>
      </x:c>
      <x:c r="F8" s="27" t="str">
        <x:v>2005(1).pdf</x:v>
      </x:c>
      <x:c r="G8" s="27" t="str">
        <x:v>Direct current-conversation upload</x:v>
      </x:c>
      <x:c r="H8" s="27" t="str">
        <x:v>Core statistics, sector chart and public-interest commentary.</x:v>
      </x:c>
      <x:c r="I8" s="27" t="str">
        <x:v>S004</x:v>
      </x:c>
    </x:row>
    <x:row r="9">
      <x:c r="A9" s="27" t="str">
        <x:v>2005/06</x:v>
      </x:c>
      <x:c r="B9" s="27" t="str">
        <x:v>Competition Commission South Africa</x:v>
      </x:c>
      <x:c r="C9" s="27" t="str">
        <x:v>Annual Report 2005/06</x:v>
      </x:c>
      <x:c r="D9" s="27" t="n">
        <x:v>2006</x:v>
      </x:c>
      <x:c r="E9" s="27" t="str">
        <x:v>Competition Commission South Africa (2006) Annual Report 2005/06. Pretoria: Competition Commission South Africa.</x:v>
      </x:c>
      <x:c r="F9" s="27" t="str">
        <x:v>2006(1).pdf</x:v>
      </x:c>
      <x:c r="G9" s="27" t="str">
        <x:v>Direct current-conversation upload</x:v>
      </x:c>
      <x:c r="H9" s="27" t="str">
        <x:v>Core statistics, turnaround, sectors, public interest and workload/resource share.</x:v>
      </x:c>
      <x:c r="I9" s="27" t="str">
        <x:v>S005</x:v>
      </x:c>
    </x:row>
    <x:row r="10">
      <x:c r="A10" s="27" t="str">
        <x:v>2006/07</x:v>
      </x:c>
      <x:c r="B10" s="27" t="str">
        <x:v>Competition Commission South Africa</x:v>
      </x:c>
      <x:c r="C10" s="27" t="str">
        <x:v>Annual Report 2006/07</x:v>
      </x:c>
      <x:c r="D10" s="27" t="n">
        <x:v>2007</x:v>
      </x:c>
      <x:c r="E10" s="27" t="str">
        <x:v>Competition Commission South Africa (2007) Annual Report 2006/07. Pretoria: Competition Commission South Africa.</x:v>
      </x:c>
      <x:c r="F10" s="27" t="str">
        <x:v>2007(1).pdf</x:v>
      </x:c>
      <x:c r="G10" s="27" t="str">
        <x:v>Direct current-conversation upload</x:v>
      </x:c>
      <x:c r="H10" s="27" t="str">
        <x:v>Core statistics, sectors and turnaround.</x:v>
      </x:c>
      <x:c r="I10" s="27" t="str">
        <x:v>S006</x:v>
      </x:c>
    </x:row>
    <x:row r="11">
      <x:c r="A11" s="27" t="str">
        <x:v>2007/08</x:v>
      </x:c>
      <x:c r="B11" s="27" t="str">
        <x:v>Competition Commission South Africa</x:v>
      </x:c>
      <x:c r="C11" s="27" t="str">
        <x:v>Annual Report 2007/08</x:v>
      </x:c>
      <x:c r="D11" s="27" t="n">
        <x:v>2008</x:v>
      </x:c>
      <x:c r="E11" s="27" t="str">
        <x:v>Competition Commission South Africa (2008) Annual Report 2007/08. Pretoria: Competition Commission South Africa.</x:v>
      </x:c>
      <x:c r="F11" s="27" t="str">
        <x:v>2008(1).pdf</x:v>
      </x:c>
      <x:c r="G11" s="27" t="str">
        <x:v>Direct current-conversation upload</x:v>
      </x:c>
      <x:c r="H11" s="27" t="str">
        <x:v>Key threshold-erosion and resource-burden rationale; core statistics and sectors.</x:v>
      </x:c>
      <x:c r="I11" s="27" t="str">
        <x:v>S007</x:v>
      </x:c>
    </x:row>
    <x:row r="12">
      <x:c r="A12" s="27" t="str">
        <x:v>2008/09</x:v>
      </x:c>
      <x:c r="B12" s="27" t="str">
        <x:v>Competition Commission South Africa</x:v>
      </x:c>
      <x:c r="C12" s="27" t="str">
        <x:v>Annual Report 2008/09</x:v>
      </x:c>
      <x:c r="D12" s="27" t="n">
        <x:v>2009</x:v>
      </x:c>
      <x:c r="E12" s="27" t="str">
        <x:v>Competition Commission South Africa (2009) Annual Report 2008/09. Pretoria: Competition Commission South Africa.</x:v>
      </x:c>
      <x:c r="F12" s="27" t="str">
        <x:v>2009(1).pdf</x:v>
      </x:c>
      <x:c r="G12" s="27" t="str">
        <x:v>Direct current-conversation upload</x:v>
      </x:c>
      <x:c r="H12" s="27" t="str">
        <x:v>Contemporaneous narrative reports 414 notifications; later comparative table gives 415.</x:v>
      </x:c>
      <x:c r="I12" s="27" t="str">
        <x:v>S008</x:v>
      </x:c>
    </x:row>
    <x:row r="13">
      <x:c r="A13" s="27" t="str">
        <x:v>2009/10</x:v>
      </x:c>
      <x:c r="B13" s="27" t="str">
        <x:v>Competition Commission South Africa</x:v>
      </x:c>
      <x:c r="C13" s="27" t="str">
        <x:v>Annual Report 2009/10</x:v>
      </x:c>
      <x:c r="D13" s="27" t="n">
        <x:v>2010</x:v>
      </x:c>
      <x:c r="E13" s="27" t="str">
        <x:v>Competition Commission South Africa (2010) Annual Report 2009/10. Pretoria: Competition Commission South Africa.</x:v>
      </x:c>
      <x:c r="F13" s="27" t="str">
        <x:v>2010(1).pdf</x:v>
      </x:c>
      <x:c r="G13" s="27" t="str">
        <x:v>Direct current-conversation upload</x:v>
      </x:c>
      <x:c r="H13" s="27" t="str">
        <x:v>First full year after 2009 threshold increase; report attributes decline to thresholds and weak economy.</x:v>
      </x:c>
      <x:c r="I13" s="27" t="str">
        <x:v>S009</x:v>
      </x:c>
    </x:row>
    <x:row r="14">
      <x:c r="A14" s="27" t="str">
        <x:v>2010/11</x:v>
      </x:c>
      <x:c r="B14" s="27" t="str">
        <x:v>Competition Commission South Africa</x:v>
      </x:c>
      <x:c r="C14" s="27" t="str">
        <x:v>Annual Report 2010/11</x:v>
      </x:c>
      <x:c r="D14" s="27" t="n">
        <x:v>2011</x:v>
      </x:c>
      <x:c r="E14" s="27" t="str">
        <x:v>Competition Commission South Africa (2011) Annual Report 2010/11. Pretoria: Competition Commission South Africa.</x:v>
      </x:c>
      <x:c r="F14" s="27" t="str">
        <x:v>2011(1).pdf</x:v>
      </x:c>
      <x:c r="G14" s="27" t="str">
        <x:v>Direct current-conversation upload</x:v>
      </x:c>
      <x:c r="H14" s="27" t="str">
        <x:v>Narrative and filing-fee revenue; some exact comparative core values also recovered in 2011/12 report.</x:v>
      </x:c>
      <x:c r="I14" s="27" t="str">
        <x:v>S010</x:v>
      </x:c>
    </x:row>
    <x:row r="15">
      <x:c r="A15" s="27" t="str">
        <x:v>2007/08-2011/12</x:v>
      </x:c>
      <x:c r="B15" s="27" t="str">
        <x:v>Competition Commission South Africa</x:v>
      </x:c>
      <x:c r="C15" s="27" t="str">
        <x:v>Annual Report 2011/12</x:v>
      </x:c>
      <x:c r="D15" s="27" t="n">
        <x:v>2012</x:v>
      </x:c>
      <x:c r="E15" s="27" t="str">
        <x:v>Competition Commission South Africa (2012) Annual Report 2011/12. Pretoria: Competition Commission South Africa.</x:v>
      </x:c>
      <x:c r="F15" s="27" t="str">
        <x:v>2012(1).pdf</x:v>
      </x:c>
      <x:c r="G15" s="27" t="str">
        <x:v>Direct current-conversation upload</x:v>
      </x:c>
      <x:c r="H15" s="27" t="str">
        <x:v>Historical Phase 1/2/3 series and contemporaneous 2011/12 core; also near-contemporaneous 2010/11 figures.</x:v>
      </x:c>
      <x:c r="I15" s="27" t="str">
        <x:v>S011</x:v>
      </x:c>
    </x:row>
    <x:row r="16">
      <x:c r="A16" s="27" t="str">
        <x:v>2012/13</x:v>
      </x:c>
      <x:c r="B16" s="27" t="str">
        <x:v>Competition Commission South Africa</x:v>
      </x:c>
      <x:c r="C16" s="27" t="str">
        <x:v>Annual Report 2012/13</x:v>
      </x:c>
      <x:c r="D16" s="27" t="n">
        <x:v>2013</x:v>
      </x:c>
      <x:c r="E16" s="27" t="str">
        <x:v>Competition Commission South Africa (2013) Annual Report 2012/13. Pretoria: Competition Commission South Africa.</x:v>
      </x:c>
      <x:c r="F16" s="27" t="str">
        <x:v>2013(1).pdf</x:v>
      </x:c>
      <x:c r="G16" s="27" t="str">
        <x:v>Direct current-conversation upload</x:v>
      </x:c>
      <x:c r="H16" s="27" t="str">
        <x:v>Core statistics, sectors, outcomes.</x:v>
      </x:c>
      <x:c r="I16" s="27" t="str">
        <x:v>S012</x:v>
      </x:c>
    </x:row>
    <x:row r="17">
      <x:c r="A17" s="27" t="str">
        <x:v>2013/14</x:v>
      </x:c>
      <x:c r="B17" s="27" t="str">
        <x:v>Competition Commission South Africa</x:v>
      </x:c>
      <x:c r="C17" s="27" t="str">
        <x:v>Annual Report 2013/14</x:v>
      </x:c>
      <x:c r="D17" s="27" t="n">
        <x:v>2014</x:v>
      </x:c>
      <x:c r="E17" s="27" t="str">
        <x:v>Competition Commission South Africa (2014) Annual Report 2013/14. Pretoria: Competition Commission South Africa.</x:v>
      </x:c>
      <x:c r="F17" s="27" t="str">
        <x:v>2014(1).pdf</x:v>
      </x:c>
      <x:c r="G17" s="27" t="str">
        <x:v>Direct current-conversation upload</x:v>
      </x:c>
      <x:c r="H17" s="27" t="str">
        <x:v>Core, phase, sectors, public-interest employment metrics.</x:v>
      </x:c>
      <x:c r="I17" s="27" t="str">
        <x:v>S013</x:v>
      </x:c>
    </x:row>
    <x:row r="18">
      <x:c r="A18" s="27" t="str">
        <x:v>2014/15</x:v>
      </x:c>
      <x:c r="B18" s="27" t="str">
        <x:v>Competition Commission South Africa</x:v>
      </x:c>
      <x:c r="C18" s="27" t="str">
        <x:v>Annual Report 2014/15</x:v>
      </x:c>
      <x:c r="D18" s="27" t="n">
        <x:v>2015</x:v>
      </x:c>
      <x:c r="E18" s="27" t="str">
        <x:v>Competition Commission South Africa (2015) Annual Report 2014/15. Pretoria: Competition Commission South Africa.</x:v>
      </x:c>
      <x:c r="F18" s="27" t="str">
        <x:v>2015(1).pdf</x:v>
      </x:c>
      <x:c r="G18" s="27" t="str">
        <x:v>Direct current-conversation upload</x:v>
      </x:c>
      <x:c r="H18" s="27" t="str">
        <x:v>Core, phase, turnaround and condition-monitoring workload.</x:v>
      </x:c>
      <x:c r="I18" s="27" t="str">
        <x:v>S014</x:v>
      </x:c>
    </x:row>
    <x:row r="19">
      <x:c r="A19" s="27" t="str">
        <x:v>2015/16</x:v>
      </x:c>
      <x:c r="B19" s="27" t="str">
        <x:v>Competition Commission South Africa</x:v>
      </x:c>
      <x:c r="C19" s="27" t="str">
        <x:v>Annual Report 2015/16</x:v>
      </x:c>
      <x:c r="D19" s="27" t="n">
        <x:v>2016</x:v>
      </x:c>
      <x:c r="E19" s="27" t="str">
        <x:v>Competition Commission South Africa (2016) Annual Report 2015/16. Pretoria: Competition Commission South Africa.</x:v>
      </x:c>
      <x:c r="F19" s="27" t="str">
        <x:v>2016(1).pdf</x:v>
      </x:c>
      <x:c r="G19" s="27" t="str">
        <x:v>Direct current-conversation upload</x:v>
      </x:c>
      <x:c r="H19" s="27" t="str">
        <x:v>Core, phase, turnaround and employment/public-interest comparative tables.</x:v>
      </x:c>
      <x:c r="I19" s="27" t="str">
        <x:v>S015</x:v>
      </x:c>
    </x:row>
    <x:row r="20">
      <x:c r="A20" s="27" t="str">
        <x:v>2016/17</x:v>
      </x:c>
      <x:c r="B20" s="27" t="str">
        <x:v>Competition Commission South Africa</x:v>
      </x:c>
      <x:c r="C20" s="27" t="str">
        <x:v>Annual Report 2016/17</x:v>
      </x:c>
      <x:c r="D20" s="27" t="n">
        <x:v>2017</x:v>
      </x:c>
      <x:c r="E20" s="27" t="str">
        <x:v>Competition Commission South Africa (2017) Annual Report 2016/17. Pretoria: Competition Commission South Africa.</x:v>
      </x:c>
      <x:c r="F20" s="27" t="str">
        <x:v>2017(1).pdf</x:v>
      </x:c>
      <x:c r="G20" s="27" t="str">
        <x:v>Direct current-conversation upload</x:v>
      </x:c>
      <x:c r="H20" s="27" t="str">
        <x:v>Core, turnaround, sectors, public-interest metrics.</x:v>
      </x:c>
      <x:c r="I20" s="27" t="str">
        <x:v>S016</x:v>
      </x:c>
    </x:row>
    <x:row r="21">
      <x:c r="A21" s="27" t="str">
        <x:v>2017/18</x:v>
      </x:c>
      <x:c r="B21" s="27" t="str">
        <x:v>Competition Commission South Africa</x:v>
      </x:c>
      <x:c r="C21" s="27" t="str">
        <x:v>Annual Report 2017/18</x:v>
      </x:c>
      <x:c r="D21" s="27" t="n">
        <x:v>2018</x:v>
      </x:c>
      <x:c r="E21" s="27" t="str">
        <x:v>Competition Commission South Africa (2018) Annual Report 2017/18. Pretoria: Competition Commission South Africa.</x:v>
      </x:c>
      <x:c r="F21" s="27" t="str">
        <x:v>2018(1).pdf</x:v>
      </x:c>
      <x:c r="G21" s="27" t="str">
        <x:v>Direct current-conversation upload</x:v>
      </x:c>
      <x:c r="H21" s="27" t="str">
        <x:v>Core, phase, turnaround and sector distributions; transition year for October 2017 thresholds.</x:v>
      </x:c>
      <x:c r="I21" s="27" t="str">
        <x:v>S017</x:v>
      </x:c>
    </x:row>
    <x:row r="22">
      <x:c r="A22" s="27" t="str">
        <x:v>2018/19</x:v>
      </x:c>
      <x:c r="B22" s="27" t="str">
        <x:v>Competition Commission South Africa</x:v>
      </x:c>
      <x:c r="C22" s="27" t="str">
        <x:v>Annual Report 2018/19</x:v>
      </x:c>
      <x:c r="D22" s="27" t="n">
        <x:v>2019</x:v>
      </x:c>
      <x:c r="E22" s="27" t="str">
        <x:v>Competition Commission South Africa (2019) Annual Report 2018/19. Pretoria: Competition Commission South Africa.</x:v>
      </x:c>
      <x:c r="F22" s="27" t="str">
        <x:v>2019(1).pdf</x:v>
      </x:c>
      <x:c r="G22" s="27" t="str">
        <x:v>Direct current-conversation upload</x:v>
      </x:c>
      <x:c r="H22" s="27" t="str">
        <x:v>Core, phase, performance and public-interest cases.</x:v>
      </x:c>
      <x:c r="I22" s="27" t="str">
        <x:v>S018</x:v>
      </x:c>
    </x:row>
    <x:row r="23">
      <x:c r="A23" s="27" t="str">
        <x:v>2019/20</x:v>
      </x:c>
      <x:c r="B23" s="27" t="str">
        <x:v>Competition Commission South Africa</x:v>
      </x:c>
      <x:c r="C23" s="27" t="str">
        <x:v>Annual Report 2019/20</x:v>
      </x:c>
      <x:c r="D23" s="27" t="n">
        <x:v>2020</x:v>
      </x:c>
      <x:c r="E23" s="27" t="str">
        <x:v>Competition Commission South Africa (2020) Annual Report 2019/20. Pretoria: Competition Commission South Africa.</x:v>
      </x:c>
      <x:c r="F23" s="27" t="str">
        <x:v>2020(1).pdf</x:v>
      </x:c>
      <x:c r="G23" s="27" t="str">
        <x:v>Direct current-conversation upload</x:v>
      </x:c>
      <x:c r="H23" s="27" t="str">
        <x:v>Core, phase, turnaround and sector analysis; finalised definition footnote.</x:v>
      </x:c>
      <x:c r="I23" s="27" t="str">
        <x:v>S019</x:v>
      </x:c>
    </x:row>
    <x:row r="24">
      <x:c r="A24" s="27" t="str">
        <x:v>2020/21</x:v>
      </x:c>
      <x:c r="B24" s="27" t="str">
        <x:v>Competition Commission South Africa</x:v>
      </x:c>
      <x:c r="C24" s="27" t="str">
        <x:v>Annual Report 2020/21</x:v>
      </x:c>
      <x:c r="D24" s="27" t="n">
        <x:v>2021</x:v>
      </x:c>
      <x:c r="E24" s="27" t="str">
        <x:v>Competition Commission South Africa (2021) Annual Report 2020/21. Pretoria: Competition Commission South Africa.</x:v>
      </x:c>
      <x:c r="F24" s="27" t="str">
        <x:v>2021(1).pdf</x:v>
      </x:c>
      <x:c r="G24" s="27" t="str">
        <x:v>Direct current-conversation upload</x:v>
      </x:c>
      <x:c r="H24" s="27" t="str">
        <x:v>Core, phase, turnaround and Covid-related narrative.</x:v>
      </x:c>
      <x:c r="I24" s="27" t="str">
        <x:v>S020</x:v>
      </x:c>
    </x:row>
    <x:row r="25">
      <x:c r="A25" s="27" t="str">
        <x:v>2021/22</x:v>
      </x:c>
      <x:c r="B25" s="27" t="str">
        <x:v>Competition Commission South Africa</x:v>
      </x:c>
      <x:c r="C25" s="27" t="str">
        <x:v>Annual Report 2021/22</x:v>
      </x:c>
      <x:c r="D25" s="27" t="n">
        <x:v>2022</x:v>
      </x:c>
      <x:c r="E25" s="27" t="str">
        <x:v>Competition Commission South Africa (2022) Annual Report 2021/22. Pretoria: Competition Commission South Africa.</x:v>
      </x:c>
      <x:c r="F25" s="27" t="str">
        <x:v>2022(1).pdf</x:v>
      </x:c>
      <x:c r="G25" s="27" t="str">
        <x:v>Direct current-conversation upload</x:v>
      </x:c>
      <x:c r="H25" s="27" t="str">
        <x:v>Core, phase, turnaround, public interest and case-level conditions.</x:v>
      </x:c>
      <x:c r="I25" s="27" t="str">
        <x:v>S021</x:v>
      </x:c>
    </x:row>
    <x:row r="26">
      <x:c r="A26" s="27" t="str">
        <x:v>2022/23</x:v>
      </x:c>
      <x:c r="B26" s="27" t="str">
        <x:v>Competition Commission South Africa</x:v>
      </x:c>
      <x:c r="C26" s="27" t="str">
        <x:v>Annual Report 2022/23</x:v>
      </x:c>
      <x:c r="D26" s="27" t="n">
        <x:v>2023</x:v>
      </x:c>
      <x:c r="E26" s="27" t="str">
        <x:v>Competition Commission South Africa (2023) Annual Report 2022/23. Pretoria: Competition Commission South Africa.</x:v>
      </x:c>
      <x:c r="F26" s="27" t="str">
        <x:v>2023(1).pdf</x:v>
      </x:c>
      <x:c r="G26" s="27" t="str">
        <x:v>Direct current-conversation upload</x:v>
      </x:c>
      <x:c r="H26" s="27" t="str">
        <x:v>Core, phase, public-interest employment, ownership and supplier/procurement commitments.</x:v>
      </x:c>
      <x:c r="I26" s="27" t="str">
        <x:v>S022</x:v>
      </x:c>
    </x:row>
    <x:row r="27">
      <x:c r="A27" s="27" t="str">
        <x:v>2023/24</x:v>
      </x:c>
      <x:c r="B27" s="27" t="str">
        <x:v>Competition Commission South Africa</x:v>
      </x:c>
      <x:c r="C27" s="27" t="str">
        <x:v>Annual Report 2023/24</x:v>
      </x:c>
      <x:c r="D27" s="27" t="n">
        <x:v>2024</x:v>
      </x:c>
      <x:c r="E27" s="27" t="str">
        <x:v>Competition Commission South Africa (2024) Annual Report 2023/24. Pretoria: Competition Commission South Africa.</x:v>
      </x:c>
      <x:c r="F27" s="27" t="str">
        <x:v>2024.pdf</x:v>
      </x:c>
      <x:c r="G27" s="27" t="str">
        <x:v>Direct current-conversation upload</x:v>
      </x:c>
      <x:c r="H27" s="27" t="str">
        <x:v>Direct source replaces legacy/recovered status for 2023/24; includes core, phase, turnaround and public-interest trends.</x:v>
      </x:c>
      <x:c r="I27" s="27" t="str">
        <x:v>S023</x:v>
      </x:c>
    </x:row>
    <x:row r="28">
      <x:c r="A28" s="27" t="str">
        <x:v>2024/25</x:v>
      </x:c>
      <x:c r="B28" s="27" t="str">
        <x:v>Competition Commission South Africa</x:v>
      </x:c>
      <x:c r="C28" s="27" t="str">
        <x:v>Annual Report 2024/25</x:v>
      </x:c>
      <x:c r="D28" s="27" t="n">
        <x:v>2025</x:v>
      </x:c>
      <x:c r="E28" s="27" t="str">
        <x:v>Competition Commission South Africa (2025) Annual Report 2024/25. Pretoria: Competition Commission South Africa.</x:v>
      </x:c>
      <x:c r="F28" s="27" t="str">
        <x:v>2025.pdf</x:v>
      </x:c>
      <x:c r="G28" s="27" t="str">
        <x:v>Direct current-conversation upload</x:v>
      </x:c>
      <x:c r="H28" s="27" t="str">
        <x:v>Latest available annual report in current bundle; core, thresholds, phase/turnaround and public-interest metrics.</x:v>
      </x:c>
      <x:c r="I28" s="27" t="str">
        <x:v>S024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90e8882bdeec429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8" hidden="0" customWidth="1"/>
    <x:col min="4" max="4" width="32" hidden="0" customWidth="1"/>
    <x:col min="5" max="5" width="14" hidden="0" customWidth="1"/>
    <x:col min="6" max="6" width="22" hidden="0" customWidth="1"/>
    <x:col min="7" max="7" width="12" hidden="0" customWidth="1"/>
    <x:col min="8" max="8" width="14" hidden="0" customWidth="1"/>
    <x:col min="9" max="9" width="26" hidden="0" customWidth="1"/>
    <x:col min="10" max="10" width="28" hidden="0" customWidth="1"/>
    <x:col min="11" max="11" width="60" hidden="0" customWidth="1"/>
  </x:cols>
  <x:sheetData>
    <x:row r="1" ht="28" customHeight="1">
      <x:c r="A1" s="4" t="str">
        <x:v>Source Audit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2" customHeight="1">
      <x:c r="A2" s="11" t="str">
        <x:v>Traceable provenance for every report/extract used in the workbook.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4" ht="30" customHeight="1">
      <x:c r="A4" s="20" t="str">
        <x:v>Source_ID</x:v>
      </x:c>
      <x:c r="B4" s="20" t="str">
        <x:v>Coverage FY</x:v>
      </x:c>
      <x:c r="C4" s="20" t="str">
        <x:v>Institutional author</x:v>
      </x:c>
      <x:c r="D4" s="20" t="str">
        <x:v>Report title</x:v>
      </x:c>
      <x:c r="E4" s="20" t="str">
        <x:v>Publication year</x:v>
      </x:c>
      <x:c r="F4" s="20" t="str">
        <x:v>Filename</x:v>
      </x:c>
      <x:c r="G4" s="20" t="str">
        <x:v>PDF page(s)</x:v>
      </x:c>
      <x:c r="H4" s="20" t="str">
        <x:v>Printed page(s)</x:v>
      </x:c>
      <x:c r="I4" s="20" t="str">
        <x:v>Table / figure</x:v>
      </x:c>
      <x:c r="J4" s="20" t="str">
        <x:v>Supply / evidence status</x:v>
      </x:c>
      <x:c r="K4" s="20" t="str">
        <x:v>Extraction / validation note</x:v>
      </x:c>
    </x:row>
    <x:row r="5">
      <x:c r="A5" s="27" t="str">
        <x:v>S001</x:v>
      </x:c>
      <x:c r="B5" s="27" t="str">
        <x:v>1999/00; 2000/01</x:v>
      </x:c>
      <x:c r="C5" s="27" t="str">
        <x:v>Competition Commission South Africa</x:v>
      </x:c>
      <x:c r="D5" s="27" t="str">
        <x:v>Annual Report 2001</x:v>
      </x:c>
      <x:c r="E5" s="27" t="n">
        <x:v>2001</x:v>
      </x:c>
      <x:c r="F5" s="27" t="str">
        <x:v>2001.pdf</x:v>
      </x:c>
      <x:c r="G5" s="27" t="str">
        <x:v>2</x:v>
      </x:c>
      <x:c r="H5" s="27" t="str">
        <x:v>23</x:v>
      </x:c>
      <x:c r="I5" s="27" t="str">
        <x:v>Table 7: Comparative Statistics</x:v>
      </x:c>
      <x:c r="J5" s="27" t="str">
        <x:v>Direct current-conversation upload</x:v>
      </x:c>
      <x:c r="K5" s="27" t="str">
        <x:v>Contains 1999/00 and 2000/01 headline merger statistics; 1999/00 used transitional category.</x:v>
      </x:c>
    </x:row>
    <x:row r="6">
      <x:c r="A6" s="27" t="str">
        <x:v>S002</x:v>
      </x:c>
      <x:c r="B6" s="27" t="str">
        <x:v>2001/02; 2002/03</x:v>
      </x:c>
      <x:c r="C6" s="27" t="str">
        <x:v>Competition Commission South Africa</x:v>
      </x:c>
      <x:c r="D6" s="27" t="str">
        <x:v>Annual Report 2002/2003</x:v>
      </x:c>
      <x:c r="E6" s="27" t="n">
        <x:v>2003</x:v>
      </x:c>
      <x:c r="F6" s="27" t="str">
        <x:v>2003.pdf</x:v>
      </x:c>
      <x:c r="G6" s="27" t="str">
        <x:v>2</x:v>
      </x:c>
      <x:c r="H6" s="27" t="str">
        <x:v>UC</x:v>
      </x:c>
      <x:c r="I6" s="27" t="str">
        <x:v>Comparative historical table</x:v>
      </x:c>
      <x:c r="J6" s="27" t="str">
        <x:v>Direct current-conversation upload</x:v>
      </x:c>
      <x:c r="K6" s="27" t="str">
        <x:v>Used to recover early-year core statistics where original 2001/02 report is not in current bundle.</x:v>
      </x:c>
    </x:row>
    <x:row r="7">
      <x:c r="A7" s="27" t="str">
        <x:v>S003</x:v>
      </x:c>
      <x:c r="B7" s="27" t="str">
        <x:v>2003/04</x:v>
      </x:c>
      <x:c r="C7" s="27" t="str">
        <x:v>Competition Commission South Africa</x:v>
      </x:c>
      <x:c r="D7" s="27" t="str">
        <x:v>Annual Report 2004</x:v>
      </x:c>
      <x:c r="E7" s="27" t="n">
        <x:v>2004</x:v>
      </x:c>
      <x:c r="F7" s="27" t="str">
        <x:v>2004.pdf</x:v>
      </x:c>
      <x:c r="G7" s="27" t="str">
        <x:v>1</x:v>
      </x:c>
      <x:c r="H7" s="27" t="str">
        <x:v>11</x:v>
      </x:c>
      <x:c r="I7" s="27" t="str">
        <x:v>Comparative merger statistics</x:v>
      </x:c>
      <x:c r="J7" s="27" t="str">
        <x:v>Direct current-conversation upload</x:v>
      </x:c>
      <x:c r="K7" s="27" t="str">
        <x:v>Contemporaneous 2003/04 core figures.</x:v>
      </x:c>
    </x:row>
    <x:row r="8">
      <x:c r="A8" s="27" t="str">
        <x:v>S004</x:v>
      </x:c>
      <x:c r="B8" s="27" t="str">
        <x:v>2004/05</x:v>
      </x:c>
      <x:c r="C8" s="27" t="str">
        <x:v>Competition Commission South Africa</x:v>
      </x:c>
      <x:c r="D8" s="27" t="str">
        <x:v>Annual Report 2004/05</x:v>
      </x:c>
      <x:c r="E8" s="27" t="n">
        <x:v>2005</x:v>
      </x:c>
      <x:c r="F8" s="27" t="str">
        <x:v>2005(1).pdf</x:v>
      </x:c>
      <x:c r="G8" s="27" t="str">
        <x:v>1-6</x:v>
      </x:c>
      <x:c r="H8" s="27" t="str">
        <x:v>UC</x:v>
      </x:c>
      <x:c r="I8" s="27" t="str">
        <x:v>M&amp;A chapter extract</x:v>
      </x:c>
      <x:c r="J8" s="27" t="str">
        <x:v>Direct current-conversation upload</x:v>
      </x:c>
      <x:c r="K8" s="27" t="str">
        <x:v>Core statistics, sector chart and public-interest commentary.</x:v>
      </x:c>
    </x:row>
    <x:row r="9">
      <x:c r="A9" s="27" t="str">
        <x:v>S005</x:v>
      </x:c>
      <x:c r="B9" s="27" t="str">
        <x:v>2005/06</x:v>
      </x:c>
      <x:c r="C9" s="27" t="str">
        <x:v>Competition Commission South Africa</x:v>
      </x:c>
      <x:c r="D9" s="27" t="str">
        <x:v>Annual Report 2005/06</x:v>
      </x:c>
      <x:c r="E9" s="27" t="n">
        <x:v>2006</x:v>
      </x:c>
      <x:c r="F9" s="27" t="str">
        <x:v>2006(1).pdf</x:v>
      </x:c>
      <x:c r="G9" s="27" t="str">
        <x:v>1-12</x:v>
      </x:c>
      <x:c r="H9" s="27" t="str">
        <x:v>UC</x:v>
      </x:c>
      <x:c r="I9" s="27" t="str">
        <x:v>M&amp;A chapter extract</x:v>
      </x:c>
      <x:c r="J9" s="27" t="str">
        <x:v>Direct current-conversation upload</x:v>
      </x:c>
      <x:c r="K9" s="27" t="str">
        <x:v>Core statistics, turnaround, sectors, public interest and workload/resource share.</x:v>
      </x:c>
    </x:row>
    <x:row r="10">
      <x:c r="A10" s="27" t="str">
        <x:v>S006</x:v>
      </x:c>
      <x:c r="B10" s="27" t="str">
        <x:v>2006/07</x:v>
      </x:c>
      <x:c r="C10" s="27" t="str">
        <x:v>Competition Commission South Africa</x:v>
      </x:c>
      <x:c r="D10" s="27" t="str">
        <x:v>Annual Report 2006/07</x:v>
      </x:c>
      <x:c r="E10" s="27" t="n">
        <x:v>2007</x:v>
      </x:c>
      <x:c r="F10" s="27" t="str">
        <x:v>2007(1).pdf</x:v>
      </x:c>
      <x:c r="G10" s="27" t="str">
        <x:v>1-7</x:v>
      </x:c>
      <x:c r="H10" s="27" t="str">
        <x:v>UC</x:v>
      </x:c>
      <x:c r="I10" s="27" t="str">
        <x:v>M&amp;A chapter extract</x:v>
      </x:c>
      <x:c r="J10" s="27" t="str">
        <x:v>Direct current-conversation upload</x:v>
      </x:c>
      <x:c r="K10" s="27" t="str">
        <x:v>Core statistics, sectors and turnaround.</x:v>
      </x:c>
    </x:row>
    <x:row r="11">
      <x:c r="A11" s="27" t="str">
        <x:v>S007</x:v>
      </x:c>
      <x:c r="B11" s="27" t="str">
        <x:v>2007/08</x:v>
      </x:c>
      <x:c r="C11" s="27" t="str">
        <x:v>Competition Commission South Africa</x:v>
      </x:c>
      <x:c r="D11" s="27" t="str">
        <x:v>Annual Report 2007/08</x:v>
      </x:c>
      <x:c r="E11" s="27" t="n">
        <x:v>2008</x:v>
      </x:c>
      <x:c r="F11" s="27" t="str">
        <x:v>2008(1).pdf</x:v>
      </x:c>
      <x:c r="G11" s="27" t="str">
        <x:v>1-5</x:v>
      </x:c>
      <x:c r="H11" s="27" t="str">
        <x:v>UC</x:v>
      </x:c>
      <x:c r="I11" s="27" t="str">
        <x:v>M&amp;A chapter extract</x:v>
      </x:c>
      <x:c r="J11" s="27" t="str">
        <x:v>Direct current-conversation upload</x:v>
      </x:c>
      <x:c r="K11" s="27" t="str">
        <x:v>Key threshold-erosion and resource-burden rationale; core statistics and sectors.</x:v>
      </x:c>
    </x:row>
    <x:row r="12">
      <x:c r="A12" s="27" t="str">
        <x:v>S008</x:v>
      </x:c>
      <x:c r="B12" s="27" t="str">
        <x:v>2008/09</x:v>
      </x:c>
      <x:c r="C12" s="27" t="str">
        <x:v>Competition Commission South Africa</x:v>
      </x:c>
      <x:c r="D12" s="27" t="str">
        <x:v>Annual Report 2008/09</x:v>
      </x:c>
      <x:c r="E12" s="27" t="n">
        <x:v>2009</x:v>
      </x:c>
      <x:c r="F12" s="27" t="str">
        <x:v>2009(1).pdf</x:v>
      </x:c>
      <x:c r="G12" s="27" t="str">
        <x:v>1-3</x:v>
      </x:c>
      <x:c r="H12" s="27" t="str">
        <x:v>UC</x:v>
      </x:c>
      <x:c r="I12" s="27" t="str">
        <x:v>M&amp;A chapter extract</x:v>
      </x:c>
      <x:c r="J12" s="27" t="str">
        <x:v>Direct current-conversation upload</x:v>
      </x:c>
      <x:c r="K12" s="27" t="str">
        <x:v>Contemporaneous narrative reports 414 notifications; later comparative table gives 415.</x:v>
      </x:c>
    </x:row>
    <x:row r="13">
      <x:c r="A13" s="27" t="str">
        <x:v>S009</x:v>
      </x:c>
      <x:c r="B13" s="27" t="str">
        <x:v>2009/10</x:v>
      </x:c>
      <x:c r="C13" s="27" t="str">
        <x:v>Competition Commission South Africa</x:v>
      </x:c>
      <x:c r="D13" s="27" t="str">
        <x:v>Annual Report 2009/10</x:v>
      </x:c>
      <x:c r="E13" s="27" t="n">
        <x:v>2010</x:v>
      </x:c>
      <x:c r="F13" s="27" t="str">
        <x:v>2010(1).pdf</x:v>
      </x:c>
      <x:c r="G13" s="27" t="str">
        <x:v>1-3</x:v>
      </x:c>
      <x:c r="H13" s="27" t="str">
        <x:v>UC</x:v>
      </x:c>
      <x:c r="I13" s="27" t="str">
        <x:v>M&amp;A chapter extract</x:v>
      </x:c>
      <x:c r="J13" s="27" t="str">
        <x:v>Direct current-conversation upload</x:v>
      </x:c>
      <x:c r="K13" s="27" t="str">
        <x:v>First full year after 2009 threshold increase; report attributes decline to thresholds and weak economy.</x:v>
      </x:c>
    </x:row>
    <x:row r="14">
      <x:c r="A14" s="27" t="str">
        <x:v>S010</x:v>
      </x:c>
      <x:c r="B14" s="27" t="str">
        <x:v>2010/11</x:v>
      </x:c>
      <x:c r="C14" s="27" t="str">
        <x:v>Competition Commission South Africa</x:v>
      </x:c>
      <x:c r="D14" s="27" t="str">
        <x:v>Annual Report 2010/11</x:v>
      </x:c>
      <x:c r="E14" s="27" t="n">
        <x:v>2011</x:v>
      </x:c>
      <x:c r="F14" s="27" t="str">
        <x:v>2011(1).pdf</x:v>
      </x:c>
      <x:c r="G14" s="27" t="str">
        <x:v>1-7</x:v>
      </x:c>
      <x:c r="H14" s="27" t="str">
        <x:v>UC</x:v>
      </x:c>
      <x:c r="I14" s="27" t="str">
        <x:v>M&amp;A chapter extract</x:v>
      </x:c>
      <x:c r="J14" s="27" t="str">
        <x:v>Direct current-conversation upload</x:v>
      </x:c>
      <x:c r="K14" s="27" t="str">
        <x:v>Narrative and filing-fee revenue; some exact comparative core values also recovered in 2011/12 report.</x:v>
      </x:c>
    </x:row>
    <x:row r="15">
      <x:c r="A15" s="27" t="str">
        <x:v>S011</x:v>
      </x:c>
      <x:c r="B15" s="27" t="str">
        <x:v>2007/08-2011/12</x:v>
      </x:c>
      <x:c r="C15" s="27" t="str">
        <x:v>Competition Commission South Africa</x:v>
      </x:c>
      <x:c r="D15" s="27" t="str">
        <x:v>Annual Report 2011/12</x:v>
      </x:c>
      <x:c r="E15" s="27" t="n">
        <x:v>2012</x:v>
      </x:c>
      <x:c r="F15" s="27" t="str">
        <x:v>2012(1).pdf</x:v>
      </x:c>
      <x:c r="G15" s="27" t="str">
        <x:v>2-5</x:v>
      </x:c>
      <x:c r="H15" s="27" t="str">
        <x:v>UC</x:v>
      </x:c>
      <x:c r="I15" s="27" t="str">
        <x:v>Figure 5 / comparative statistics</x:v>
      </x:c>
      <x:c r="J15" s="27" t="str">
        <x:v>Direct current-conversation upload</x:v>
      </x:c>
      <x:c r="K15" s="27" t="str">
        <x:v>Historical Phase 1/2/3 series and contemporaneous 2011/12 core; also near-contemporaneous 2010/11 figures.</x:v>
      </x:c>
    </x:row>
    <x:row r="16">
      <x:c r="A16" s="27" t="str">
        <x:v>S012</x:v>
      </x:c>
      <x:c r="B16" s="27" t="str">
        <x:v>2012/13</x:v>
      </x:c>
      <x:c r="C16" s="27" t="str">
        <x:v>Competition Commission South Africa</x:v>
      </x:c>
      <x:c r="D16" s="27" t="str">
        <x:v>Annual Report 2012/13</x:v>
      </x:c>
      <x:c r="E16" s="27" t="n">
        <x:v>2013</x:v>
      </x:c>
      <x:c r="F16" s="27" t="str">
        <x:v>2013(1).pdf</x:v>
      </x:c>
      <x:c r="G16" s="27" t="str">
        <x:v>2-6</x:v>
      </x:c>
      <x:c r="H16" s="27" t="str">
        <x:v>UC</x:v>
      </x:c>
      <x:c r="I16" s="27" t="str">
        <x:v>M&amp;A chapter extract</x:v>
      </x:c>
      <x:c r="J16" s="27" t="str">
        <x:v>Direct current-conversation upload</x:v>
      </x:c>
      <x:c r="K16" s="27" t="str">
        <x:v>Core statistics, sectors, outcomes.</x:v>
      </x:c>
    </x:row>
    <x:row r="17">
      <x:c r="A17" s="27" t="str">
        <x:v>S013</x:v>
      </x:c>
      <x:c r="B17" s="27" t="str">
        <x:v>2013/14</x:v>
      </x:c>
      <x:c r="C17" s="27" t="str">
        <x:v>Competition Commission South Africa</x:v>
      </x:c>
      <x:c r="D17" s="27" t="str">
        <x:v>Annual Report 2013/14</x:v>
      </x:c>
      <x:c r="E17" s="27" t="n">
        <x:v>2014</x:v>
      </x:c>
      <x:c r="F17" s="27" t="str">
        <x:v>2014(1).pdf</x:v>
      </x:c>
      <x:c r="G17" s="27" t="str">
        <x:v>2-10</x:v>
      </x:c>
      <x:c r="H17" s="27" t="str">
        <x:v>UC</x:v>
      </x:c>
      <x:c r="I17" s="27" t="str">
        <x:v>M&amp;A chapter extract</x:v>
      </x:c>
      <x:c r="J17" s="27" t="str">
        <x:v>Direct current-conversation upload</x:v>
      </x:c>
      <x:c r="K17" s="27" t="str">
        <x:v>Core, phase, sectors, public-interest employment metrics.</x:v>
      </x:c>
    </x:row>
    <x:row r="18">
      <x:c r="A18" s="27" t="str">
        <x:v>S014</x:v>
      </x:c>
      <x:c r="B18" s="27" t="str">
        <x:v>2014/15</x:v>
      </x:c>
      <x:c r="C18" s="27" t="str">
        <x:v>Competition Commission South Africa</x:v>
      </x:c>
      <x:c r="D18" s="27" t="str">
        <x:v>Annual Report 2014/15</x:v>
      </x:c>
      <x:c r="E18" s="27" t="n">
        <x:v>2015</x:v>
      </x:c>
      <x:c r="F18" s="27" t="str">
        <x:v>2015(1).pdf</x:v>
      </x:c>
      <x:c r="G18" s="27" t="str">
        <x:v>2-12</x:v>
      </x:c>
      <x:c r="H18" s="27" t="str">
        <x:v>UC</x:v>
      </x:c>
      <x:c r="I18" s="27" t="str">
        <x:v>M&amp;A chapter extract</x:v>
      </x:c>
      <x:c r="J18" s="27" t="str">
        <x:v>Direct current-conversation upload</x:v>
      </x:c>
      <x:c r="K18" s="27" t="str">
        <x:v>Core, phase, turnaround and condition-monitoring workload.</x:v>
      </x:c>
    </x:row>
    <x:row r="19">
      <x:c r="A19" s="27" t="str">
        <x:v>S015</x:v>
      </x:c>
      <x:c r="B19" s="27" t="str">
        <x:v>2015/16</x:v>
      </x:c>
      <x:c r="C19" s="27" t="str">
        <x:v>Competition Commission South Africa</x:v>
      </x:c>
      <x:c r="D19" s="27" t="str">
        <x:v>Annual Report 2015/16</x:v>
      </x:c>
      <x:c r="E19" s="27" t="n">
        <x:v>2016</x:v>
      </x:c>
      <x:c r="F19" s="27" t="str">
        <x:v>2016(1).pdf</x:v>
      </x:c>
      <x:c r="G19" s="27" t="str">
        <x:v>4-18</x:v>
      </x:c>
      <x:c r="H19" s="27" t="str">
        <x:v>UC</x:v>
      </x:c>
      <x:c r="I19" s="27" t="str">
        <x:v>M&amp;A chapter extract</x:v>
      </x:c>
      <x:c r="J19" s="27" t="str">
        <x:v>Direct current-conversation upload</x:v>
      </x:c>
      <x:c r="K19" s="27" t="str">
        <x:v>Core, phase, turnaround and employment/public-interest comparative tables.</x:v>
      </x:c>
    </x:row>
    <x:row r="20">
      <x:c r="A20" s="27" t="str">
        <x:v>S016</x:v>
      </x:c>
      <x:c r="B20" s="27" t="str">
        <x:v>2016/17</x:v>
      </x:c>
      <x:c r="C20" s="27" t="str">
        <x:v>Competition Commission South Africa</x:v>
      </x:c>
      <x:c r="D20" s="27" t="str">
        <x:v>Annual Report 2016/17</x:v>
      </x:c>
      <x:c r="E20" s="27" t="n">
        <x:v>2017</x:v>
      </x:c>
      <x:c r="F20" s="27" t="str">
        <x:v>2017(1).pdf</x:v>
      </x:c>
      <x:c r="G20" s="27" t="str">
        <x:v>2-7</x:v>
      </x:c>
      <x:c r="H20" s="27" t="str">
        <x:v>UC</x:v>
      </x:c>
      <x:c r="I20" s="27" t="str">
        <x:v>M&amp;A chapter extract</x:v>
      </x:c>
      <x:c r="J20" s="27" t="str">
        <x:v>Direct current-conversation upload</x:v>
      </x:c>
      <x:c r="K20" s="27" t="str">
        <x:v>Core, turnaround, sectors, public-interest metrics.</x:v>
      </x:c>
    </x:row>
    <x:row r="21">
      <x:c r="A21" s="27" t="str">
        <x:v>S017</x:v>
      </x:c>
      <x:c r="B21" s="27" t="str">
        <x:v>2017/18</x:v>
      </x:c>
      <x:c r="C21" s="27" t="str">
        <x:v>Competition Commission South Africa</x:v>
      </x:c>
      <x:c r="D21" s="27" t="str">
        <x:v>Annual Report 2017/18</x:v>
      </x:c>
      <x:c r="E21" s="27" t="n">
        <x:v>2018</x:v>
      </x:c>
      <x:c r="F21" s="27" t="str">
        <x:v>2018(1).pdf</x:v>
      </x:c>
      <x:c r="G21" s="27" t="str">
        <x:v>8-19</x:v>
      </x:c>
      <x:c r="H21" s="27" t="str">
        <x:v>UC</x:v>
      </x:c>
      <x:c r="I21" s="27" t="str">
        <x:v>M&amp;A chapter extract</x:v>
      </x:c>
      <x:c r="J21" s="27" t="str">
        <x:v>Direct current-conversation upload</x:v>
      </x:c>
      <x:c r="K21" s="27" t="str">
        <x:v>Core, phase, turnaround and sector distributions; transition year for October 2017 thresholds.</x:v>
      </x:c>
    </x:row>
    <x:row r="22">
      <x:c r="A22" s="27" t="str">
        <x:v>S018</x:v>
      </x:c>
      <x:c r="B22" s="27" t="str">
        <x:v>2018/19</x:v>
      </x:c>
      <x:c r="C22" s="27" t="str">
        <x:v>Competition Commission South Africa</x:v>
      </x:c>
      <x:c r="D22" s="27" t="str">
        <x:v>Annual Report 2018/19</x:v>
      </x:c>
      <x:c r="E22" s="27" t="n">
        <x:v>2019</x:v>
      </x:c>
      <x:c r="F22" s="27" t="str">
        <x:v>2019(1).pdf</x:v>
      </x:c>
      <x:c r="G22" s="27" t="str">
        <x:v>2-18</x:v>
      </x:c>
      <x:c r="H22" s="27" t="str">
        <x:v>UC</x:v>
      </x:c>
      <x:c r="I22" s="27" t="str">
        <x:v>M&amp;A chapter extract</x:v>
      </x:c>
      <x:c r="J22" s="27" t="str">
        <x:v>Direct current-conversation upload</x:v>
      </x:c>
      <x:c r="K22" s="27" t="str">
        <x:v>Core, phase, performance and public-interest cases.</x:v>
      </x:c>
    </x:row>
    <x:row r="23">
      <x:c r="A23" s="27" t="str">
        <x:v>S019</x:v>
      </x:c>
      <x:c r="B23" s="27" t="str">
        <x:v>2019/20</x:v>
      </x:c>
      <x:c r="C23" s="27" t="str">
        <x:v>Competition Commission South Africa</x:v>
      </x:c>
      <x:c r="D23" s="27" t="str">
        <x:v>Annual Report 2019/20</x:v>
      </x:c>
      <x:c r="E23" s="27" t="n">
        <x:v>2020</x:v>
      </x:c>
      <x:c r="F23" s="27" t="str">
        <x:v>2020(1).pdf</x:v>
      </x:c>
      <x:c r="G23" s="27" t="str">
        <x:v>2-14</x:v>
      </x:c>
      <x:c r="H23" s="27" t="str">
        <x:v>UC</x:v>
      </x:c>
      <x:c r="I23" s="27" t="str">
        <x:v>M&amp;A chapter extract</x:v>
      </x:c>
      <x:c r="J23" s="27" t="str">
        <x:v>Direct current-conversation upload</x:v>
      </x:c>
      <x:c r="K23" s="27" t="str">
        <x:v>Core, phase, turnaround and sector analysis; finalised definition footnote.</x:v>
      </x:c>
    </x:row>
    <x:row r="24">
      <x:c r="A24" s="27" t="str">
        <x:v>S020</x:v>
      </x:c>
      <x:c r="B24" s="27" t="str">
        <x:v>2020/21</x:v>
      </x:c>
      <x:c r="C24" s="27" t="str">
        <x:v>Competition Commission South Africa</x:v>
      </x:c>
      <x:c r="D24" s="27" t="str">
        <x:v>Annual Report 2020/21</x:v>
      </x:c>
      <x:c r="E24" s="27" t="n">
        <x:v>2021</x:v>
      </x:c>
      <x:c r="F24" s="27" t="str">
        <x:v>2021(1).pdf</x:v>
      </x:c>
      <x:c r="G24" s="27" t="str">
        <x:v>3-23</x:v>
      </x:c>
      <x:c r="H24" s="27" t="str">
        <x:v>UC</x:v>
      </x:c>
      <x:c r="I24" s="27" t="str">
        <x:v>M&amp;A chapter extract</x:v>
      </x:c>
      <x:c r="J24" s="27" t="str">
        <x:v>Direct current-conversation upload</x:v>
      </x:c>
      <x:c r="K24" s="27" t="str">
        <x:v>Core, phase, turnaround and Covid-related narrative.</x:v>
      </x:c>
    </x:row>
    <x:row r="25">
      <x:c r="A25" s="27" t="str">
        <x:v>S021</x:v>
      </x:c>
      <x:c r="B25" s="27" t="str">
        <x:v>2021/22</x:v>
      </x:c>
      <x:c r="C25" s="27" t="str">
        <x:v>Competition Commission South Africa</x:v>
      </x:c>
      <x:c r="D25" s="27" t="str">
        <x:v>Annual Report 2021/22</x:v>
      </x:c>
      <x:c r="E25" s="27" t="n">
        <x:v>2022</x:v>
      </x:c>
      <x:c r="F25" s="27" t="str">
        <x:v>2022(1).pdf</x:v>
      </x:c>
      <x:c r="G25" s="27" t="str">
        <x:v>2-22</x:v>
      </x:c>
      <x:c r="H25" s="27" t="str">
        <x:v>UC</x:v>
      </x:c>
      <x:c r="I25" s="27" t="str">
        <x:v>M&amp;A chapter extract</x:v>
      </x:c>
      <x:c r="J25" s="27" t="str">
        <x:v>Direct current-conversation upload</x:v>
      </x:c>
      <x:c r="K25" s="27" t="str">
        <x:v>Core, phase, turnaround, public interest and case-level conditions.</x:v>
      </x:c>
    </x:row>
    <x:row r="26">
      <x:c r="A26" s="27" t="str">
        <x:v>S022</x:v>
      </x:c>
      <x:c r="B26" s="27" t="str">
        <x:v>2022/23</x:v>
      </x:c>
      <x:c r="C26" s="27" t="str">
        <x:v>Competition Commission South Africa</x:v>
      </x:c>
      <x:c r="D26" s="27" t="str">
        <x:v>Annual Report 2022/23</x:v>
      </x:c>
      <x:c r="E26" s="27" t="n">
        <x:v>2023</x:v>
      </x:c>
      <x:c r="F26" s="27" t="str">
        <x:v>2023(1).pdf</x:v>
      </x:c>
      <x:c r="G26" s="27" t="str">
        <x:v>4-13</x:v>
      </x:c>
      <x:c r="H26" s="27" t="str">
        <x:v>55-58</x:v>
      </x:c>
      <x:c r="I26" s="27" t="str">
        <x:v>Tables 19-22</x:v>
      </x:c>
      <x:c r="J26" s="27" t="str">
        <x:v>Direct current-conversation upload</x:v>
      </x:c>
      <x:c r="K26" s="27" t="str">
        <x:v>Core, phase, public-interest employment, ownership and supplier/procurement commitments.</x:v>
      </x:c>
    </x:row>
    <x:row r="27">
      <x:c r="A27" s="27" t="str">
        <x:v>S023</x:v>
      </x:c>
      <x:c r="B27" s="27" t="str">
        <x:v>2023/24</x:v>
      </x:c>
      <x:c r="C27" s="27" t="str">
        <x:v>Competition Commission South Africa</x:v>
      </x:c>
      <x:c r="D27" s="27" t="str">
        <x:v>Annual Report 2023/24</x:v>
      </x:c>
      <x:c r="E27" s="27" t="n">
        <x:v>2024</x:v>
      </x:c>
      <x:c r="F27" s="27" t="str">
        <x:v>2024.pdf</x:v>
      </x:c>
      <x:c r="G27" s="27" t="str">
        <x:v>3-7</x:v>
      </x:c>
      <x:c r="H27" s="27" t="str">
        <x:v>72-76</x:v>
      </x:c>
      <x:c r="I27" s="27" t="str">
        <x:v>Merger regulation / trend tables</x:v>
      </x:c>
      <x:c r="J27" s="27" t="str">
        <x:v>Direct current-conversation upload</x:v>
      </x:c>
      <x:c r="K27" s="27" t="str">
        <x:v>Direct source replaces legacy/recovered status for 2023/24; includes core, phase, turnaround and public-interest trends.</x:v>
      </x:c>
    </x:row>
    <x:row r="28">
      <x:c r="A28" s="27" t="str">
        <x:v>S024</x:v>
      </x:c>
      <x:c r="B28" s="27" t="str">
        <x:v>2024/25</x:v>
      </x:c>
      <x:c r="C28" s="27" t="str">
        <x:v>Competition Commission South Africa</x:v>
      </x:c>
      <x:c r="D28" s="27" t="str">
        <x:v>Annual Report 2024/25</x:v>
      </x:c>
      <x:c r="E28" s="27" t="n">
        <x:v>2025</x:v>
      </x:c>
      <x:c r="F28" s="27" t="str">
        <x:v>2025.pdf</x:v>
      </x:c>
      <x:c r="G28" s="27" t="str">
        <x:v>3-7</x:v>
      </x:c>
      <x:c r="H28" s="27" t="str">
        <x:v>89-95</x:v>
      </x:c>
      <x:c r="I28" s="27" t="str">
        <x:v>Tables 3-8</x:v>
      </x:c>
      <x:c r="J28" s="27" t="str">
        <x:v>Direct current-conversation upload</x:v>
      </x:c>
      <x:c r="K28" s="27" t="str">
        <x:v>Latest available annual report in current bundle; core, thresholds, phase/turnaround and public-interest metrics.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74f9ca84d469474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1" hidden="0" customWidth="1"/>
    <x:col min="4" max="4" width="14" hidden="0" customWidth="1"/>
    <x:col min="5" max="5" width="11" hidden="0" customWidth="1"/>
    <x:col min="6" max="6" width="13" hidden="0" customWidth="1"/>
    <x:col min="7" max="7" width="12" hidden="0" customWidth="1"/>
    <x:col min="8" max="8" width="11" hidden="0" customWidth="1"/>
    <x:col min="9" max="9" width="14" hidden="0" customWidth="1"/>
    <x:col min="10" max="10" width="11" hidden="0" customWidth="1"/>
    <x:col min="11" max="11" width="13" hidden="0" customWidth="1"/>
    <x:col min="12" max="12" width="17" hidden="0" customWidth="1"/>
    <x:col min="13" max="13" width="16" hidden="0" customWidth="1"/>
    <x:col min="14" max="14" width="15" hidden="0" customWidth="1"/>
    <x:col min="15" max="15" width="10" hidden="0" customWidth="1"/>
    <x:col min="16" max="16" width="18" hidden="0" customWidth="1"/>
    <x:col min="17" max="17" width="15" hidden="0" customWidth="1"/>
    <x:col min="18" max="18" width="22" hidden="0" customWidth="1"/>
    <x:col min="19" max="19" width="10" hidden="0" customWidth="1"/>
    <x:col min="20" max="20" width="20" hidden="0" customWidth="1"/>
    <x:col min="21" max="21" width="10" hidden="0" customWidth="1"/>
    <x:col min="22" max="22" width="10" hidden="0" customWidth="1"/>
    <x:col min="23" max="23" width="16" hidden="0" customWidth="1"/>
    <x:col min="24" max="24" width="18" hidden="0" customWidth="1"/>
    <x:col min="25" max="25" width="12" hidden="0" customWidth="1"/>
    <x:col min="26" max="26" width="58" hidden="0" customWidth="1"/>
  </x:cols>
  <x:sheetData>
    <x:row r="1" ht="28" customHeight="1">
      <x:c r="A1" s="4" t="str">
        <x:v>Annual Merger Core — Audited Series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2" customHeight="1">
      <x:c r="A2" s="11" t="str">
        <x:v>Source hierarchy: contemporaneous report &gt; near-contemporaneous rolling table &gt; later recovery. Conflicts are preserved instead of forced to reconcile.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4" ht="30" customHeight="1">
      <x:c r="A4" s="20" t="str">
        <x:v>Financial year</x:v>
      </x:c>
      <x:c r="B4" s="20" t="str">
        <x:v>Notified total</x:v>
      </x:c>
      <x:c r="C4" s="20" t="str">
        <x:v>Notified large</x:v>
      </x:c>
      <x:c r="D4" s="20" t="str">
        <x:v>Notified intermediate</x:v>
      </x:c>
      <x:c r="E4" s="20" t="str">
        <x:v>Notified small</x:v>
      </x:c>
      <x:c r="F4" s="20" t="str">
        <x:v>Transitional notified</x:v>
      </x:c>
      <x:c r="G4" s="20" t="str">
        <x:v>Finalised total</x:v>
      </x:c>
      <x:c r="H4" s="20" t="str">
        <x:v>Finalised large</x:v>
      </x:c>
      <x:c r="I4" s="20" t="str">
        <x:v>Finalised intermediate</x:v>
      </x:c>
      <x:c r="J4" s="20" t="str">
        <x:v>Finalised small</x:v>
      </x:c>
      <x:c r="K4" s="20" t="str">
        <x:v>Transitional finalised</x:v>
      </x:c>
      <x:c r="L4" s="20" t="str">
        <x:v>Approved total (if only total reported)</x:v>
      </x:c>
      <x:c r="M4" s="20" t="str">
        <x:v>Approved without conditions</x:v>
      </x:c>
      <x:c r="N4" s="20" t="str">
        <x:v>Approved with conditions</x:v>
      </x:c>
      <x:c r="O4" s="20" t="str">
        <x:v>Prohibited</x:v>
      </x:c>
      <x:c r="P4" s="20" t="str">
        <x:v>Withdrawn / no jurisdiction</x:v>
      </x:c>
      <x:c r="Q4" s="20" t="str">
        <x:v>Residual included in finalised?</x:v>
      </x:c>
      <x:c r="R4" s="20" t="str">
        <x:v>Evidence status</x:v>
      </x:c>
      <x:c r="S4" s="20" t="str">
        <x:v>Source_ID</x:v>
      </x:c>
      <x:c r="T4" s="20" t="str">
        <x:v>Primary source</x:v>
      </x:c>
      <x:c r="U4" s="20" t="str">
        <x:v>PDF page</x:v>
      </x:c>
      <x:c r="V4" s="20" t="str">
        <x:v>Printed page</x:v>
      </x:c>
      <x:c r="W4" s="20" t="str">
        <x:v>Notification component check</x:v>
      </x:c>
      <x:c r="X4" s="20" t="str">
        <x:v>Finalised-size component check</x:v>
      </x:c>
      <x:c r="Y4" s="20" t="str">
        <x:v>Outcome check</x:v>
      </x:c>
      <x:c r="Z4" s="20" t="str">
        <x:v>Validation note</x:v>
      </x:c>
    </x:row>
    <x:row r="5">
      <x:c r="A5" s="27" t="str">
        <x:v>1999/00</x:v>
      </x:c>
      <x:c r="B5" s="27" t="n">
        <x:v>331</x:v>
      </x:c>
      <x:c r="C5" s="27" t="n">
        <x:v>20</x:v>
      </x:c>
      <x:c r="D5" s="27" t="n">
        <x:v>175</x:v>
      </x:c>
      <x:c r="E5" s="27" t="str">
        <x:v>NR</x:v>
      </x:c>
      <x:c r="F5" s="27" t="n">
        <x:v>136</x:v>
      </x:c>
      <x:c r="G5" s="27" t="n">
        <x:v>236</x:v>
      </x:c>
      <x:c r="H5" s="27" t="n">
        <x:v>12</x:v>
      </x:c>
      <x:c r="I5" s="27" t="n">
        <x:v>91</x:v>
      </x:c>
      <x:c r="J5" s="27" t="str">
        <x:v>NR</x:v>
      </x:c>
      <x:c r="K5" s="27" t="n">
        <x:v>133</x:v>
      </x:c>
      <x:c r="L5" s="27" t="n">
        <x:v>236</x:v>
      </x:c>
      <x:c r="M5" s="27" t="str">
        <x:v>NR</x:v>
      </x:c>
      <x:c r="N5" s="27" t="str">
        <x:v>NR</x:v>
      </x:c>
      <x:c r="O5" s="27" t="n">
        <x:v>5</x:v>
      </x:c>
      <x:c r="P5" s="27" t="n">
        <x:v>231</x:v>
      </x:c>
      <x:c r="Q5" s="27" t="str">
        <x:v>UC</x:v>
      </x:c>
      <x:c r="R5" s="27" t="str">
        <x:v>Contemporaneous comparative table</x:v>
      </x:c>
      <x:c r="S5" s="27" t="str">
        <x:v>S001</x:v>
      </x:c>
      <x:c r="T5" s="27" t="str">
        <x:v>2001.pdf</x:v>
      </x:c>
      <x:c r="U5" s="27" t="str">
        <x:v>2</x:v>
      </x:c>
      <x:c r="V5" s="27" t="str">
        <x:v>23</x:v>
      </x:c>
      <x:c r="W5" s="27" t="str">
        <x:f>IF(COUNT(C5:E5)=3,IF(SUM(C5:E5)=B5,"OK","CHECK"),"UC")</x:f>
        <x:v>UC</x:v>
      </x:c>
      <x:c r="X5" s="27" t="str">
        <x:f>IF(COUNT(H5:J5)=3,IF(SUM(H5:J5)=G5,"OK","CHECK"),"UC")</x:f>
        <x:v>UC</x:v>
      </x:c>
      <x:c r="Y5" s="27" t="str">
        <x:f>IF(ISNUMBER(M5),IF(Q5="Yes",IF(SUM(M5:P5)=G5,"OK","CHECK"),IF(Q5="No",IF(SUM(M5:O5)=G5,"OK","CHECK"),"UC")),"UC")</x:f>
        <x:v>UC</x:v>
      </x:c>
      <x:c r="Z5" s="27" t="str">
        <x:v>Transitional category existed; later-style outcome identities are not applicable.</x:v>
      </x:c>
    </x:row>
    <x:row r="6">
      <x:c r="A6" s="27" t="str">
        <x:v>2000/01</x:v>
      </x:c>
      <x:c r="B6" s="27" t="n">
        <x:v>407</x:v>
      </x:c>
      <x:c r="C6" s="27" t="n">
        <x:v>16</x:v>
      </x:c>
      <x:c r="D6" s="27" t="n">
        <x:v>375</x:v>
      </x:c>
      <x:c r="E6" s="27" t="n">
        <x:v>16</x:v>
      </x:c>
      <x:c r="F6" s="27" t="str">
        <x:v>NA</x:v>
      </x:c>
      <x:c r="G6" s="27" t="n">
        <x:v>414</x:v>
      </x:c>
      <x:c r="H6" s="27" t="n">
        <x:v>24</x:v>
      </x:c>
      <x:c r="I6" s="27" t="n">
        <x:v>387</x:v>
      </x:c>
      <x:c r="J6" s="27" t="n">
        <x:v>3</x:v>
      </x:c>
      <x:c r="K6" s="27" t="str">
        <x:v>NA</x:v>
      </x:c>
      <x:c r="L6" s="27" t="n">
        <x:v>376</x:v>
      </x:c>
      <x:c r="M6" s="27" t="str">
        <x:v>NR</x:v>
      </x:c>
      <x:c r="N6" s="27" t="str">
        <x:v>NR</x:v>
      </x:c>
      <x:c r="O6" s="27" t="n">
        <x:v>3</x:v>
      </x:c>
      <x:c r="P6" s="27" t="n">
        <x:v>37</x:v>
      </x:c>
      <x:c r="Q6" s="27" t="str">
        <x:v>UC</x:v>
      </x:c>
      <x:c r="R6" s="27" t="str">
        <x:v>Contemporaneous</x:v>
      </x:c>
      <x:c r="S6" s="27" t="str">
        <x:v>S001</x:v>
      </x:c>
      <x:c r="T6" s="27" t="str">
        <x:v>2001.pdf</x:v>
      </x:c>
      <x:c r="U6" s="27" t="str">
        <x:v>2</x:v>
      </x:c>
      <x:c r="V6" s="27" t="str">
        <x:v>23</x:v>
      </x:c>
      <x:c r="W6" s="27" t="str">
        <x:f>IF(COUNT(C6:E6)=3,IF(SUM(C6:E6)=B6,"OK","CHECK"),"UC")</x:f>
        <x:v>OK</x:v>
      </x:c>
      <x:c r="X6" s="27" t="str">
        <x:f>IF(COUNT(H6:J6)=3,IF(SUM(H6:J6)=G6,"OK","CHECK"),"UC")</x:f>
        <x:v>OK</x:v>
      </x:c>
      <x:c r="Y6" s="27" t="str">
        <x:f>IF(ISNUMBER(M6),IF(Q6="Yes",IF(SUM(M6:P6)=G6,"OK","CHECK"),IF(Q6="No",IF(SUM(M6:O6)=G6,"OK","CHECK"),"UC")),"UC")</x:f>
        <x:v>UC</x:v>
      </x:c>
      <x:c r="Z6" s="27" t="str">
        <x:v>Approved total reported without unconditional/conditional split.</x:v>
      </x:c>
    </x:row>
    <x:row r="7">
      <x:c r="A7" s="27" t="str">
        <x:v>2001/02</x:v>
      </x:c>
      <x:c r="B7" s="27" t="n">
        <x:v>220</x:v>
      </x:c>
      <x:c r="C7" s="27" t="n">
        <x:v>46</x:v>
      </x:c>
      <x:c r="D7" s="27" t="n">
        <x:v>169</x:v>
      </x:c>
      <x:c r="E7" s="27" t="n">
        <x:v>5</x:v>
      </x:c>
      <x:c r="F7" s="27" t="str">
        <x:v>NA</x:v>
      </x:c>
      <x:c r="G7" s="27" t="n">
        <x:v>225</x:v>
      </x:c>
      <x:c r="H7" s="27" t="n">
        <x:v>42</x:v>
      </x:c>
      <x:c r="I7" s="27" t="n">
        <x:v>179</x:v>
      </x:c>
      <x:c r="J7" s="27" t="n">
        <x:v>4</x:v>
      </x:c>
      <x:c r="K7" s="27" t="str">
        <x:v>NA</x:v>
      </x:c>
      <x:c r="L7" s="27" t="str">
        <x:v>NR</x:v>
      </x:c>
      <x:c r="M7" s="27" t="n">
        <x:v>213</x:v>
      </x:c>
      <x:c r="N7" s="27" t="n">
        <x:v>0</x:v>
      </x:c>
      <x:c r="O7" s="27" t="n">
        <x:v>2</x:v>
      </x:c>
      <x:c r="P7" s="27" t="n">
        <x:v>10</x:v>
      </x:c>
      <x:c r="Q7" s="27" t="str">
        <x:v>Yes</x:v>
      </x:c>
      <x:c r="R7" s="27" t="str">
        <x:v>Recovered from later comparative table</x:v>
      </x:c>
      <x:c r="S7" s="27" t="str">
        <x:v>S002</x:v>
      </x:c>
      <x:c r="T7" s="27" t="str">
        <x:v>2003.pdf</x:v>
      </x:c>
      <x:c r="U7" s="27" t="str">
        <x:v>2</x:v>
      </x:c>
      <x:c r="V7" s="27" t="str">
        <x:v>UC</x:v>
      </x:c>
      <x:c r="W7" s="27" t="str">
        <x:f>IF(COUNT(C7:E7)=3,IF(SUM(C7:E7)=B7,"OK","CHECK"),"UC")</x:f>
        <x:v>OK</x:v>
      </x:c>
      <x:c r="X7" s="27" t="str">
        <x:f>IF(COUNT(H7:J7)=3,IF(SUM(H7:J7)=G7,"OK","CHECK"),"UC")</x:f>
        <x:v>OK</x:v>
      </x:c>
      <x:c r="Y7" s="27" t="str">
        <x:f>IF(ISNUMBER(M7),IF(Q7="Yes",IF(SUM(M7:P7)=G7,"OK","CHECK"),IF(Q7="No",IF(SUM(M7:O7)=G7,"OK","CHECK"),"UC")),"UC")</x:f>
        <x:v>OK</x:v>
      </x:c>
      <x:c r="Z7" s="27" t="str">
        <x:v>Original 2001/02 standalone report not in current bundle.</x:v>
      </x:c>
    </x:row>
    <x:row r="8">
      <x:c r="A8" s="27" t="str">
        <x:v>2002/03</x:v>
      </x:c>
      <x:c r="B8" s="27" t="n">
        <x:v>211</x:v>
      </x:c>
      <x:c r="C8" s="27" t="n">
        <x:v>68</x:v>
      </x:c>
      <x:c r="D8" s="27" t="n">
        <x:v>138</x:v>
      </x:c>
      <x:c r="E8" s="27" t="n">
        <x:v>5</x:v>
      </x:c>
      <x:c r="F8" s="27" t="str">
        <x:v>NA</x:v>
      </x:c>
      <x:c r="G8" s="27" t="n">
        <x:v>202</x:v>
      </x:c>
      <x:c r="H8" s="27" t="n">
        <x:v>68</x:v>
      </x:c>
      <x:c r="I8" s="27" t="n">
        <x:v>129</x:v>
      </x:c>
      <x:c r="J8" s="27" t="n">
        <x:v>5</x:v>
      </x:c>
      <x:c r="K8" s="27" t="str">
        <x:v>NA</x:v>
      </x:c>
      <x:c r="L8" s="27" t="str">
        <x:v>NR</x:v>
      </x:c>
      <x:c r="M8" s="27" t="n">
        <x:v>194</x:v>
      </x:c>
      <x:c r="N8" s="27" t="n">
        <x:v>5</x:v>
      </x:c>
      <x:c r="O8" s="27" t="n">
        <x:v>1</x:v>
      </x:c>
      <x:c r="P8" s="27" t="n">
        <x:v>7</x:v>
      </x:c>
      <x:c r="Q8" s="27" t="str">
        <x:v>Yes</x:v>
      </x:c>
      <x:c r="R8" s="27" t="str">
        <x:v>Contemporaneous / comparative</x:v>
      </x:c>
      <x:c r="S8" s="27" t="str">
        <x:v>S002</x:v>
      </x:c>
      <x:c r="T8" s="27" t="str">
        <x:v>2003.pdf</x:v>
      </x:c>
      <x:c r="U8" s="27" t="str">
        <x:v>2</x:v>
      </x:c>
      <x:c r="V8" s="27" t="str">
        <x:v>UC</x:v>
      </x:c>
      <x:c r="W8" s="27" t="str">
        <x:f>IF(COUNT(C8:E8)=3,IF(SUM(C8:E8)=B8,"OK","CHECK"),"UC")</x:f>
        <x:v>OK</x:v>
      </x:c>
      <x:c r="X8" s="27" t="str">
        <x:f>IF(COUNT(H8:J8)=3,IF(SUM(H8:J8)=G8,"OK","CHECK"),"UC")</x:f>
        <x:v>OK</x:v>
      </x:c>
      <x:c r="Y8" s="27" t="str">
        <x:f>IF(ISNUMBER(M8),IF(Q8="Yes",IF(SUM(M8:P8)=G8,"OK","CHECK"),IF(Q8="No",IF(SUM(M8:O8)=G8,"OK","CHECK"),"UC")),"UC")</x:f>
        <x:v>CHECK</x:v>
      </x:c>
      <x:c r="Z8" s="27" t="str">
        <x:v>Cross-year comparative table.</x:v>
      </x:c>
    </x:row>
    <x:row r="9">
      <x:c r="A9" s="27" t="str">
        <x:v>2003/04</x:v>
      </x:c>
      <x:c r="B9" s="27" t="n">
        <x:v>284</x:v>
      </x:c>
      <x:c r="C9" s="27" t="n">
        <x:v>65</x:v>
      </x:c>
      <x:c r="D9" s="27" t="n">
        <x:v>213</x:v>
      </x:c>
      <x:c r="E9" s="27" t="n">
        <x:v>6</x:v>
      </x:c>
      <x:c r="F9" s="27" t="str">
        <x:v>NA</x:v>
      </x:c>
      <x:c r="G9" s="27" t="n">
        <x:v>278</x:v>
      </x:c>
      <x:c r="H9" s="27" t="n">
        <x:v>59</x:v>
      </x:c>
      <x:c r="I9" s="27" t="n">
        <x:v>214</x:v>
      </x:c>
      <x:c r="J9" s="27" t="n">
        <x:v>5</x:v>
      </x:c>
      <x:c r="K9" s="27" t="str">
        <x:v>NA</x:v>
      </x:c>
      <x:c r="L9" s="27" t="str">
        <x:v>NR</x:v>
      </x:c>
      <x:c r="M9" s="27" t="n">
        <x:v>262</x:v>
      </x:c>
      <x:c r="N9" s="27" t="n">
        <x:v>7</x:v>
      </x:c>
      <x:c r="O9" s="27" t="n">
        <x:v>1</x:v>
      </x:c>
      <x:c r="P9" s="27" t="n">
        <x:v>8</x:v>
      </x:c>
      <x:c r="Q9" s="27" t="str">
        <x:v>Yes</x:v>
      </x:c>
      <x:c r="R9" s="27" t="str">
        <x:v>Contemporaneous</x:v>
      </x:c>
      <x:c r="S9" s="27" t="str">
        <x:v>S003</x:v>
      </x:c>
      <x:c r="T9" s="27" t="str">
        <x:v>2004.pdf</x:v>
      </x:c>
      <x:c r="U9" s="27" t="str">
        <x:v>1</x:v>
      </x:c>
      <x:c r="V9" s="27" t="str">
        <x:v>11</x:v>
      </x:c>
      <x:c r="W9" s="27" t="str">
        <x:f>IF(COUNT(C9:E9)=3,IF(SUM(C9:E9)=B9,"OK","CHECK"),"UC")</x:f>
        <x:v>OK</x:v>
      </x:c>
      <x:c r="X9" s="27" t="str">
        <x:f>IF(COUNT(H9:J9)=3,IF(SUM(H9:J9)=G9,"OK","CHECK"),"UC")</x:f>
        <x:v>OK</x:v>
      </x:c>
      <x:c r="Y9" s="27" t="str">
        <x:f>IF(ISNUMBER(M9),IF(Q9="Yes",IF(SUM(M9:P9)=G9,"OK","CHECK"),IF(Q9="No",IF(SUM(M9:O9)=G9,"OK","CHECK"),"UC")),"UC")</x:f>
        <x:v>OK</x:v>
      </x:c>
      <x:c r="Z9" s="27" t="str"/>
    </x:row>
    <x:row r="10">
      <x:c r="A10" s="27" t="str">
        <x:v>2004/05</x:v>
      </x:c>
      <x:c r="B10" s="27" t="n">
        <x:v>311</x:v>
      </x:c>
      <x:c r="C10" s="27" t="n">
        <x:v>72</x:v>
      </x:c>
      <x:c r="D10" s="27" t="n">
        <x:v>233</x:v>
      </x:c>
      <x:c r="E10" s="27" t="n">
        <x:v>6</x:v>
      </x:c>
      <x:c r="F10" s="27" t="str">
        <x:v>NA</x:v>
      </x:c>
      <x:c r="G10" s="27" t="n">
        <x:v>301</x:v>
      </x:c>
      <x:c r="H10" s="27" t="n">
        <x:v>65</x:v>
      </x:c>
      <x:c r="I10" s="27" t="n">
        <x:v>229</x:v>
      </x:c>
      <x:c r="J10" s="27" t="n">
        <x:v>7</x:v>
      </x:c>
      <x:c r="K10" s="27" t="str">
        <x:v>NA</x:v>
      </x:c>
      <x:c r="L10" s="27" t="str">
        <x:v>NR</x:v>
      </x:c>
      <x:c r="M10" s="27" t="n">
        <x:v>285</x:v>
      </x:c>
      <x:c r="N10" s="27" t="n">
        <x:v>9</x:v>
      </x:c>
      <x:c r="O10" s="27" t="n">
        <x:v>4</x:v>
      </x:c>
      <x:c r="P10" s="27" t="n">
        <x:v>3</x:v>
      </x:c>
      <x:c r="Q10" s="27" t="str">
        <x:v>Yes</x:v>
      </x:c>
      <x:c r="R10" s="27" t="str">
        <x:v>Contemporaneous</x:v>
      </x:c>
      <x:c r="S10" s="27" t="str">
        <x:v>S004</x:v>
      </x:c>
      <x:c r="T10" s="27" t="str">
        <x:v>2005(1).pdf</x:v>
      </x:c>
      <x:c r="U10" s="27" t="str">
        <x:v>1</x:v>
      </x:c>
      <x:c r="V10" s="27" t="str">
        <x:v>UC</x:v>
      </x:c>
      <x:c r="W10" s="27" t="str">
        <x:f>IF(COUNT(C10:E10)=3,IF(SUM(C10:E10)=B10,"OK","CHECK"),"UC")</x:f>
        <x:v>OK</x:v>
      </x:c>
      <x:c r="X10" s="27" t="str">
        <x:f>IF(COUNT(H10:J10)=3,IF(SUM(H10:J10)=G10,"OK","CHECK"),"UC")</x:f>
        <x:v>OK</x:v>
      </x:c>
      <x:c r="Y10" s="27" t="str">
        <x:f>IF(ISNUMBER(M10),IF(Q10="Yes",IF(SUM(M10:P10)=G10,"OK","CHECK"),IF(Q10="No",IF(SUM(M10:O10)=G10,"OK","CHECK"),"UC")),"UC")</x:f>
        <x:v>OK</x:v>
      </x:c>
      <x:c r="Z10" s="27" t="str">
        <x:v>Finalised small mergers include one case carried forward from prior year.</x:v>
      </x:c>
    </x:row>
    <x:row r="11">
      <x:c r="A11" s="27" t="str">
        <x:v>2005/06</x:v>
      </x:c>
      <x:c r="B11" s="27" t="n">
        <x:v>408</x:v>
      </x:c>
      <x:c r="C11" s="27" t="n">
        <x:v>97</x:v>
      </x:c>
      <x:c r="D11" s="27" t="n">
        <x:v>300</x:v>
      </x:c>
      <x:c r="E11" s="27" t="n">
        <x:v>11</x:v>
      </x:c>
      <x:c r="F11" s="27" t="str">
        <x:v>NA</x:v>
      </x:c>
      <x:c r="G11" s="27" t="n">
        <x:v>394</x:v>
      </x:c>
      <x:c r="H11" s="27" t="n">
        <x:v>101</x:v>
      </x:c>
      <x:c r="I11" s="27" t="n">
        <x:v>284</x:v>
      </x:c>
      <x:c r="J11" s="27" t="n">
        <x:v>9</x:v>
      </x:c>
      <x:c r="K11" s="27" t="str">
        <x:v>NA</x:v>
      </x:c>
      <x:c r="L11" s="27" t="str">
        <x:v>NR</x:v>
      </x:c>
      <x:c r="M11" s="27" t="n">
        <x:v>376</x:v>
      </x:c>
      <x:c r="N11" s="27" t="n">
        <x:v>14</x:v>
      </x:c>
      <x:c r="O11" s="27" t="n">
        <x:v>4</x:v>
      </x:c>
      <x:c r="P11" s="27" t="n">
        <x:v>8</x:v>
      </x:c>
      <x:c r="Q11" s="27" t="str">
        <x:v>No</x:v>
      </x:c>
      <x:c r="R11" s="27" t="str">
        <x:v>Contemporaneous</x:v>
      </x:c>
      <x:c r="S11" s="27" t="str">
        <x:v>S005</x:v>
      </x:c>
      <x:c r="T11" s="27" t="str">
        <x:v>2006(1).pdf</x:v>
      </x:c>
      <x:c r="U11" s="27" t="str">
        <x:v>2</x:v>
      </x:c>
      <x:c r="V11" s="27" t="str">
        <x:v>UC</x:v>
      </x:c>
      <x:c r="W11" s="27" t="str">
        <x:f>IF(COUNT(C11:E11)=3,IF(SUM(C11:E11)=B11,"OK","CHECK"),"UC")</x:f>
        <x:v>OK</x:v>
      </x:c>
      <x:c r="X11" s="27" t="str">
        <x:f>IF(COUNT(H11:J11)=3,IF(SUM(H11:J11)=G11,"OK","CHECK"),"UC")</x:f>
        <x:v>OK</x:v>
      </x:c>
      <x:c r="Y11" s="27" t="str">
        <x:f>IF(ISNUMBER(M11),IF(Q11="Yes",IF(SUM(M11:P11)=G11,"OK","CHECK"),IF(Q11="No",IF(SUM(M11:O11)=G11,"OK","CHECK"),"UC")),"UC")</x:f>
        <x:v>OK</x:v>
      </x:c>
      <x:c r="Z11" s="27" t="str">
        <x:v>Finalised = 394 decisions; 8 residual cases reported separately. Later rolling table says 7 conditional approvals.</x:v>
      </x:c>
    </x:row>
    <x:row r="12">
      <x:c r="A12" s="27" t="str">
        <x:v>2006/07</x:v>
      </x:c>
      <x:c r="B12" s="27" t="n">
        <x:v>413</x:v>
      </x:c>
      <x:c r="C12" s="27" t="n">
        <x:v>94</x:v>
      </x:c>
      <x:c r="D12" s="27" t="n">
        <x:v>317</x:v>
      </x:c>
      <x:c r="E12" s="27" t="n">
        <x:v>2</x:v>
      </x:c>
      <x:c r="F12" s="27" t="str">
        <x:v>NA</x:v>
      </x:c>
      <x:c r="G12" s="27" t="n">
        <x:v>410</x:v>
      </x:c>
      <x:c r="H12" s="27" t="n">
        <x:v>91</x:v>
      </x:c>
      <x:c r="I12" s="27" t="n">
        <x:v>315</x:v>
      </x:c>
      <x:c r="J12" s="27" t="n">
        <x:v>4</x:v>
      </x:c>
      <x:c r="K12" s="27" t="str">
        <x:v>NA</x:v>
      </x:c>
      <x:c r="L12" s="27" t="str">
        <x:v>NR</x:v>
      </x:c>
      <x:c r="M12" s="27" t="n">
        <x:v>386</x:v>
      </x:c>
      <x:c r="N12" s="27" t="n">
        <x:v>7</x:v>
      </x:c>
      <x:c r="O12" s="27" t="n">
        <x:v>4</x:v>
      </x:c>
      <x:c r="P12" s="27" t="n">
        <x:v>13</x:v>
      </x:c>
      <x:c r="Q12" s="27" t="str">
        <x:v>Yes</x:v>
      </x:c>
      <x:c r="R12" s="27" t="str">
        <x:v>Contemporaneous</x:v>
      </x:c>
      <x:c r="S12" s="27" t="str">
        <x:v>S006</x:v>
      </x:c>
      <x:c r="T12" s="27" t="str">
        <x:v>2007(1).pdf</x:v>
      </x:c>
      <x:c r="U12" s="27" t="str">
        <x:v>1</x:v>
      </x:c>
      <x:c r="V12" s="27" t="str">
        <x:v>UC</x:v>
      </x:c>
      <x:c r="W12" s="27" t="str">
        <x:f>IF(COUNT(C12:E12)=3,IF(SUM(C12:E12)=B12,"OK","CHECK"),"UC")</x:f>
        <x:v>OK</x:v>
      </x:c>
      <x:c r="X12" s="27" t="str">
        <x:f>IF(COUNT(H12:J12)=3,IF(SUM(H12:J12)=G12,"OK","CHECK"),"UC")</x:f>
        <x:v>OK</x:v>
      </x:c>
      <x:c r="Y12" s="27" t="str">
        <x:f>IF(ISNUMBER(M12),IF(Q12="Yes",IF(SUM(M12:P12)=G12,"OK","CHECK"),IF(Q12="No",IF(SUM(M12:O12)=G12,"OK","CHECK"),"UC")),"UC")</x:f>
        <x:v>OK</x:v>
      </x:c>
      <x:c r="Z12" s="27" t="str">
        <x:v>Finalised explicitly includes decision, withdrawal, or no jurisdiction.</x:v>
      </x:c>
    </x:row>
    <x:row r="13">
      <x:c r="A13" s="27" t="str">
        <x:v>2007/08</x:v>
      </x:c>
      <x:c r="B13" s="27" t="n">
        <x:v>513</x:v>
      </x:c>
      <x:c r="C13" s="27" t="n">
        <x:v>106</x:v>
      </x:c>
      <x:c r="D13" s="27" t="n">
        <x:v>394</x:v>
      </x:c>
      <x:c r="E13" s="27" t="n">
        <x:v>13</x:v>
      </x:c>
      <x:c r="F13" s="27" t="str">
        <x:v>NA</x:v>
      </x:c>
      <x:c r="G13" s="27" t="n">
        <x:v>480</x:v>
      </x:c>
      <x:c r="H13" s="27" t="n">
        <x:v>100</x:v>
      </x:c>
      <x:c r="I13" s="27" t="n">
        <x:v>370</x:v>
      </x:c>
      <x:c r="J13" s="27" t="n">
        <x:v>10</x:v>
      </x:c>
      <x:c r="K13" s="27" t="str">
        <x:v>NA</x:v>
      </x:c>
      <x:c r="L13" s="27" t="str">
        <x:v>NR</x:v>
      </x:c>
      <x:c r="M13" s="27" t="n">
        <x:v>455</x:v>
      </x:c>
      <x:c r="N13" s="27" t="n">
        <x:v>11</x:v>
      </x:c>
      <x:c r="O13" s="27" t="n">
        <x:v>3</x:v>
      </x:c>
      <x:c r="P13" s="27" t="n">
        <x:v>11</x:v>
      </x:c>
      <x:c r="Q13" s="27" t="str">
        <x:v>Yes</x:v>
      </x:c>
      <x:c r="R13" s="27" t="str">
        <x:v>Contemporaneous</x:v>
      </x:c>
      <x:c r="S13" s="27" t="str">
        <x:v>S007</x:v>
      </x:c>
      <x:c r="T13" s="27" t="str">
        <x:v>2008(1).pdf</x:v>
      </x:c>
      <x:c r="U13" s="27" t="str">
        <x:v>2</x:v>
      </x:c>
      <x:c r="V13" s="27" t="str">
        <x:v>UC</x:v>
      </x:c>
      <x:c r="W13" s="27" t="str">
        <x:f>IF(COUNT(C13:E13)=3,IF(SUM(C13:E13)=B13,"OK","CHECK"),"UC")</x:f>
        <x:v>OK</x:v>
      </x:c>
      <x:c r="X13" s="27" t="str">
        <x:f>IF(COUNT(H13:J13)=3,IF(SUM(H13:J13)=G13,"OK","CHECK"),"UC")</x:f>
        <x:v>OK</x:v>
      </x:c>
      <x:c r="Y13" s="27" t="str">
        <x:f>IF(ISNUMBER(M13),IF(Q13="Yes",IF(SUM(M13:P13)=G13,"OK","CHECK"),IF(Q13="No",IF(SUM(M13:O13)=G13,"OK","CHECK"),"UC")),"UC")</x:f>
        <x:v>OK</x:v>
      </x:c>
      <x:c r="Z13" s="27" t="str">
        <x:v>Finalised includes decisions, withdrawals and no-jurisdiction cases.</x:v>
      </x:c>
    </x:row>
    <x:row r="14">
      <x:c r="A14" s="27" t="str">
        <x:v>2008/09</x:v>
      </x:c>
      <x:c r="B14" s="27" t="n">
        <x:v>415</x:v>
      </x:c>
      <x:c r="C14" s="27" t="n">
        <x:v>103</x:v>
      </x:c>
      <x:c r="D14" s="27" t="n">
        <x:v>303</x:v>
      </x:c>
      <x:c r="E14" s="27" t="n">
        <x:v>9</x:v>
      </x:c>
      <x:c r="F14" s="27" t="str">
        <x:v>NA</x:v>
      </x:c>
      <x:c r="G14" s="27" t="n">
        <x:v>458</x:v>
      </x:c>
      <x:c r="H14" s="27" t="str">
        <x:v>NR</x:v>
      </x:c>
      <x:c r="I14" s="27" t="str">
        <x:v>NR</x:v>
      </x:c>
      <x:c r="J14" s="27" t="str">
        <x:v>NR</x:v>
      </x:c>
      <x:c r="K14" s="27" t="str">
        <x:v>NA</x:v>
      </x:c>
      <x:c r="L14" s="27" t="str">
        <x:v>NR</x:v>
      </x:c>
      <x:c r="M14" s="27" t="n">
        <x:v>424</x:v>
      </x:c>
      <x:c r="N14" s="27" t="n">
        <x:v>9</x:v>
      </x:c>
      <x:c r="O14" s="27" t="n">
        <x:v>8</x:v>
      </x:c>
      <x:c r="P14" s="27" t="n">
        <x:v>17</x:v>
      </x:c>
      <x:c r="Q14" s="27" t="str">
        <x:v>Yes</x:v>
      </x:c>
      <x:c r="R14" s="27" t="str">
        <x:v>Mixed evidence</x:v>
      </x:c>
      <x:c r="S14" s="27" t="str">
        <x:v>S009</x:v>
      </x:c>
      <x:c r="T14" s="27" t="str">
        <x:v>2010(1).pdf</x:v>
      </x:c>
      <x:c r="U14" s="27" t="str">
        <x:v>1</x:v>
      </x:c>
      <x:c r="V14" s="27" t="str">
        <x:v>UC</x:v>
      </x:c>
      <x:c r="W14" s="27" t="str">
        <x:f>IF(COUNT(C14:E14)=3,IF(SUM(C14:E14)=B14,"OK","CHECK"),"UC")</x:f>
        <x:v>OK</x:v>
      </x:c>
      <x:c r="X14" s="27" t="str">
        <x:f>IF(COUNT(H14:J14)=3,IF(SUM(H14:J14)=G14,"OK","CHECK"),"UC")</x:f>
        <x:v>UC</x:v>
      </x:c>
      <x:c r="Y14" s="27" t="str">
        <x:f>IF(ISNUMBER(M14),IF(Q14="Yes",IF(SUM(M14:P14)=G14,"OK","CHECK"),IF(Q14="No",IF(SUM(M14:O14)=G14,"OK","CHECK"),"UC")),"UC")</x:f>
        <x:v>OK</x:v>
      </x:c>
      <x:c r="Z14" s="27" t="str">
        <x:v>Canonical total uses later internally reconciling table; contemporaneous narrative says 414.</x:v>
      </x:c>
    </x:row>
    <x:row r="15">
      <x:c r="A15" s="27" t="str">
        <x:v>2009/10</x:v>
      </x:c>
      <x:c r="B15" s="27" t="n">
        <x:v>190</x:v>
      </x:c>
      <x:c r="C15" s="27" t="n">
        <x:v>44</x:v>
      </x:c>
      <x:c r="D15" s="27" t="n">
        <x:v>136</x:v>
      </x:c>
      <x:c r="E15" s="27" t="n">
        <x:v>10</x:v>
      </x:c>
      <x:c r="F15" s="27" t="str">
        <x:v>NA</x:v>
      </x:c>
      <x:c r="G15" s="27" t="n">
        <x:v>208</x:v>
      </x:c>
      <x:c r="H15" s="27" t="n">
        <x:v>54</x:v>
      </x:c>
      <x:c r="I15" s="27" t="n">
        <x:v>140</x:v>
      </x:c>
      <x:c r="J15" s="27" t="n">
        <x:v>14</x:v>
      </x:c>
      <x:c r="K15" s="27" t="str">
        <x:v>NA</x:v>
      </x:c>
      <x:c r="L15" s="27" t="str">
        <x:v>NR</x:v>
      </x:c>
      <x:c r="M15" s="27" t="n">
        <x:v>190</x:v>
      </x:c>
      <x:c r="N15" s="27" t="n">
        <x:v>8</x:v>
      </x:c>
      <x:c r="O15" s="27" t="n">
        <x:v>1</x:v>
      </x:c>
      <x:c r="P15" s="27" t="n">
        <x:v>9</x:v>
      </x:c>
      <x:c r="Q15" s="27" t="str">
        <x:v>Yes</x:v>
      </x:c>
      <x:c r="R15" s="27" t="str">
        <x:v>Contemporaneous</x:v>
      </x:c>
      <x:c r="S15" s="27" t="str">
        <x:v>S009</x:v>
      </x:c>
      <x:c r="T15" s="27" t="str">
        <x:v>2010(1).pdf</x:v>
      </x:c>
      <x:c r="U15" s="27" t="str">
        <x:v>1</x:v>
      </x:c>
      <x:c r="V15" s="27" t="str">
        <x:v>UC</x:v>
      </x:c>
      <x:c r="W15" s="27" t="str">
        <x:f>IF(COUNT(C15:E15)=3,IF(SUM(C15:E15)=B15,"OK","CHECK"),"UC")</x:f>
        <x:v>OK</x:v>
      </x:c>
      <x:c r="X15" s="27" t="str">
        <x:f>IF(COUNT(H15:J15)=3,IF(SUM(H15:J15)=G15,"OK","CHECK"),"UC")</x:f>
        <x:v>OK</x:v>
      </x:c>
      <x:c r="Y15" s="27" t="str">
        <x:f>IF(ISNUMBER(M15),IF(Q15="Yes",IF(SUM(M15:P15)=G15,"OK","CHECK"),IF(Q15="No",IF(SUM(M15:O15)=G15,"OK","CHECK"),"UC")),"UC")</x:f>
        <x:v>OK</x:v>
      </x:c>
      <x:c r="Z15" s="27" t="str">
        <x:v>Threshold reset and weak economy both cited.</x:v>
      </x:c>
    </x:row>
    <x:row r="16">
      <x:c r="A16" s="27" t="str">
        <x:v>2010/11</x:v>
      </x:c>
      <x:c r="B16" s="27" t="n">
        <x:v>229</x:v>
      </x:c>
      <x:c r="C16" s="27" t="n">
        <x:v>60</x:v>
      </x:c>
      <x:c r="D16" s="27" t="n">
        <x:v>150</x:v>
      </x:c>
      <x:c r="E16" s="27" t="n">
        <x:v>19</x:v>
      </x:c>
      <x:c r="F16" s="27" t="str">
        <x:v>NA</x:v>
      </x:c>
      <x:c r="G16" s="27" t="n">
        <x:v>220</x:v>
      </x:c>
      <x:c r="H16" s="27" t="n">
        <x:v>55</x:v>
      </x:c>
      <x:c r="I16" s="27" t="n">
        <x:v>145</x:v>
      </x:c>
      <x:c r="J16" s="27" t="n">
        <x:v>19</x:v>
      </x:c>
      <x:c r="K16" s="27" t="str">
        <x:v>NA</x:v>
      </x:c>
      <x:c r="L16" s="27" t="str">
        <x:v>NR</x:v>
      </x:c>
      <x:c r="M16" s="27" t="n">
        <x:v>200</x:v>
      </x:c>
      <x:c r="N16" s="27" t="n">
        <x:v>14</x:v>
      </x:c>
      <x:c r="O16" s="27" t="n">
        <x:v>2</x:v>
      </x:c>
      <x:c r="P16" s="27" t="n">
        <x:v>4</x:v>
      </x:c>
      <x:c r="Q16" s="27" t="str">
        <x:v>Yes</x:v>
      </x:c>
      <x:c r="R16" s="27" t="str">
        <x:v>Near-contemporaneous / audited</x:v>
      </x:c>
      <x:c r="S16" s="27" t="str">
        <x:v>S011</x:v>
      </x:c>
      <x:c r="T16" s="27" t="str">
        <x:v>2012(1).pdf</x:v>
      </x:c>
      <x:c r="U16" s="27" t="str">
        <x:v>5</x:v>
      </x:c>
      <x:c r="V16" s="27" t="str">
        <x:v>UC</x:v>
      </x:c>
      <x:c r="W16" s="27" t="str">
        <x:f>IF(COUNT(C16:E16)=3,IF(SUM(C16:E16)=B16,"OK","CHECK"),"UC")</x:f>
        <x:v>OK</x:v>
      </x:c>
      <x:c r="X16" s="27" t="str">
        <x:f>IF(COUNT(H16:J16)=3,IF(SUM(H16:J16)=G16,"OK","CHECK"),"UC")</x:f>
        <x:v>CHECK</x:v>
      </x:c>
      <x:c r="Y16" s="27" t="str">
        <x:f>IF(ISNUMBER(M16),IF(Q16="Yes",IF(SUM(M16:P16)=G16,"OK","CHECK"),IF(Q16="No",IF(SUM(M16:O16)=G16,"OK","CHECK"),"UC")),"UC")</x:f>
        <x:v>OK</x:v>
      </x:c>
      <x:c r="Z16" s="27" t="str">
        <x:v>Final-size components sum 219; later rolling tables sometimes report 219 and 13 conditional approvals.</x:v>
      </x:c>
    </x:row>
    <x:row r="17">
      <x:c r="A17" s="27" t="str">
        <x:v>2011/12</x:v>
      </x:c>
      <x:c r="B17" s="27" t="n">
        <x:v>291</x:v>
      </x:c>
      <x:c r="C17" s="27" t="n">
        <x:v>88</x:v>
      </x:c>
      <x:c r="D17" s="27" t="n">
        <x:v>186</x:v>
      </x:c>
      <x:c r="E17" s="27" t="n">
        <x:v>17</x:v>
      </x:c>
      <x:c r="F17" s="27" t="str">
        <x:v>NA</x:v>
      </x:c>
      <x:c r="G17" s="27" t="n">
        <x:v>282</x:v>
      </x:c>
      <x:c r="H17" s="27" t="n">
        <x:v>85</x:v>
      </x:c>
      <x:c r="I17" s="27" t="n">
        <x:v>182</x:v>
      </x:c>
      <x:c r="J17" s="27" t="n">
        <x:v>15</x:v>
      </x:c>
      <x:c r="K17" s="27" t="str">
        <x:v>NA</x:v>
      </x:c>
      <x:c r="L17" s="27" t="str">
        <x:v>NR</x:v>
      </x:c>
      <x:c r="M17" s="27" t="n">
        <x:v>234</x:v>
      </x:c>
      <x:c r="N17" s="27" t="n">
        <x:v>33</x:v>
      </x:c>
      <x:c r="O17" s="27" t="n">
        <x:v>8</x:v>
      </x:c>
      <x:c r="P17" s="27" t="n">
        <x:v>7</x:v>
      </x:c>
      <x:c r="Q17" s="27" t="str">
        <x:v>Yes</x:v>
      </x:c>
      <x:c r="R17" s="27" t="str">
        <x:v>Contemporaneous</x:v>
      </x:c>
      <x:c r="S17" s="27" t="str">
        <x:v>S011</x:v>
      </x:c>
      <x:c r="T17" s="27" t="str">
        <x:v>2012(1).pdf</x:v>
      </x:c>
      <x:c r="U17" s="27" t="str">
        <x:v>5</x:v>
      </x:c>
      <x:c r="V17" s="27" t="str">
        <x:v>UC</x:v>
      </x:c>
      <x:c r="W17" s="27" t="str">
        <x:f>IF(COUNT(C17:E17)=3,IF(SUM(C17:E17)=B17,"OK","CHECK"),"UC")</x:f>
        <x:v>OK</x:v>
      </x:c>
      <x:c r="X17" s="27" t="str">
        <x:f>IF(COUNT(H17:J17)=3,IF(SUM(H17:J17)=G17,"OK","CHECK"),"UC")</x:f>
        <x:v>OK</x:v>
      </x:c>
      <x:c r="Y17" s="27" t="str">
        <x:f>IF(ISNUMBER(M17),IF(Q17="Yes",IF(SUM(M17:P17)=G17,"OK","CHECK"),IF(Q17="No",IF(SUM(M17:O17)=G17,"OK","CHECK"),"UC")),"UC")</x:f>
        <x:v>OK</x:v>
      </x:c>
      <x:c r="Z17" s="27" t="str">
        <x:v>Later rolling tables report 283 finalised and 8 residual.</x:v>
      </x:c>
    </x:row>
    <x:row r="18">
      <x:c r="A18" s="27" t="str">
        <x:v>2012/13</x:v>
      </x:c>
      <x:c r="B18" s="27" t="n">
        <x:v>324</x:v>
      </x:c>
      <x:c r="C18" s="27" t="n">
        <x:v>68</x:v>
      </x:c>
      <x:c r="D18" s="27" t="n">
        <x:v>223</x:v>
      </x:c>
      <x:c r="E18" s="27" t="n">
        <x:v>33</x:v>
      </x:c>
      <x:c r="F18" s="27" t="str">
        <x:v>NA</x:v>
      </x:c>
      <x:c r="G18" s="27" t="n">
        <x:v>327</x:v>
      </x:c>
      <x:c r="H18" s="27" t="n">
        <x:v>70</x:v>
      </x:c>
      <x:c r="I18" s="27" t="n">
        <x:v>227</x:v>
      </x:c>
      <x:c r="J18" s="27" t="n">
        <x:v>30</x:v>
      </x:c>
      <x:c r="K18" s="27" t="str">
        <x:v>NA</x:v>
      </x:c>
      <x:c r="L18" s="27" t="str">
        <x:v>NR</x:v>
      </x:c>
      <x:c r="M18" s="27" t="n">
        <x:v>278</x:v>
      </x:c>
      <x:c r="N18" s="27" t="n">
        <x:v>37</x:v>
      </x:c>
      <x:c r="O18" s="27" t="n">
        <x:v>0</x:v>
      </x:c>
      <x:c r="P18" s="27" t="n">
        <x:v>12</x:v>
      </x:c>
      <x:c r="Q18" s="27" t="str">
        <x:v>Yes</x:v>
      </x:c>
      <x:c r="R18" s="27" t="str">
        <x:v>Contemporaneous</x:v>
      </x:c>
      <x:c r="S18" s="27" t="str">
        <x:v>S012</x:v>
      </x:c>
      <x:c r="T18" s="27" t="str">
        <x:v>2013(1).pdf</x:v>
      </x:c>
      <x:c r="U18" s="27" t="str">
        <x:v>3</x:v>
      </x:c>
      <x:c r="V18" s="27" t="str">
        <x:v>UC</x:v>
      </x:c>
      <x:c r="W18" s="27" t="str">
        <x:f>IF(COUNT(C18:E18)=3,IF(SUM(C18:E18)=B18,"OK","CHECK"),"UC")</x:f>
        <x:v>OK</x:v>
      </x:c>
      <x:c r="X18" s="27" t="str">
        <x:f>IF(COUNT(H18:J18)=3,IF(SUM(H18:J18)=G18,"OK","CHECK"),"UC")</x:f>
        <x:v>OK</x:v>
      </x:c>
      <x:c r="Y18" s="27" t="str">
        <x:f>IF(ISNUMBER(M18),IF(Q18="Yes",IF(SUM(M18:P18)=G18,"OK","CHECK"),IF(Q18="No",IF(SUM(M18:O18)=G18,"OK","CHECK"),"UC")),"UC")</x:f>
        <x:v>OK</x:v>
      </x:c>
      <x:c r="Z18" s="27" t="str">
        <x:v>No prohibitions.</x:v>
      </x:c>
    </x:row>
    <x:row r="19">
      <x:c r="A19" s="27" t="str">
        <x:v>2013/14</x:v>
      </x:c>
      <x:c r="B19" s="27" t="n">
        <x:v>320</x:v>
      </x:c>
      <x:c r="C19" s="27" t="n">
        <x:v>95</x:v>
      </x:c>
      <x:c r="D19" s="27" t="n">
        <x:v>209</x:v>
      </x:c>
      <x:c r="E19" s="27" t="n">
        <x:v>16</x:v>
      </x:c>
      <x:c r="F19" s="27" t="str">
        <x:v>NA</x:v>
      </x:c>
      <x:c r="G19" s="27" t="n">
        <x:v>329</x:v>
      </x:c>
      <x:c r="H19" s="27" t="n">
        <x:v>95</x:v>
      </x:c>
      <x:c r="I19" s="27" t="n">
        <x:v>214</x:v>
      </x:c>
      <x:c r="J19" s="27" t="n">
        <x:v>20</x:v>
      </x:c>
      <x:c r="K19" s="27" t="str">
        <x:v>NA</x:v>
      </x:c>
      <x:c r="L19" s="27" t="str">
        <x:v>NR</x:v>
      </x:c>
      <x:c r="M19" s="27" t="n">
        <x:v>302</x:v>
      </x:c>
      <x:c r="N19" s="27" t="n">
        <x:v>22</x:v>
      </x:c>
      <x:c r="O19" s="27" t="n">
        <x:v>1</x:v>
      </x:c>
      <x:c r="P19" s="27" t="n">
        <x:v>4</x:v>
      </x:c>
      <x:c r="Q19" s="27" t="str">
        <x:v>Yes</x:v>
      </x:c>
      <x:c r="R19" s="27" t="str">
        <x:v>Contemporaneous</x:v>
      </x:c>
      <x:c r="S19" s="27" t="str">
        <x:v>S013</x:v>
      </x:c>
      <x:c r="T19" s="27" t="str">
        <x:v>2014(1).pdf</x:v>
      </x:c>
      <x:c r="U19" s="27" t="str">
        <x:v>3</x:v>
      </x:c>
      <x:c r="V19" s="27" t="str">
        <x:v>UC</x:v>
      </x:c>
      <x:c r="W19" s="27" t="str">
        <x:f>IF(COUNT(C19:E19)=3,IF(SUM(C19:E19)=B19,"OK","CHECK"),"UC")</x:f>
        <x:v>OK</x:v>
      </x:c>
      <x:c r="X19" s="27" t="str">
        <x:f>IF(COUNT(H19:J19)=3,IF(SUM(H19:J19)=G19,"OK","CHECK"),"UC")</x:f>
        <x:v>OK</x:v>
      </x:c>
      <x:c r="Y19" s="27" t="str">
        <x:f>IF(ISNUMBER(M19),IF(Q19="Yes",IF(SUM(M19:P19)=G19,"OK","CHECK"),IF(Q19="No",IF(SUM(M19:O19)=G19,"OK","CHECK"),"UC")),"UC")</x:f>
        <x:v>OK</x:v>
      </x:c>
      <x:c r="Z19" s="27" t="str">
        <x:v>Merger activity described as resilient despite difficult conditions.</x:v>
      </x:c>
    </x:row>
    <x:row r="20">
      <x:c r="A20" s="27" t="str">
        <x:v>2014/15</x:v>
      </x:c>
      <x:c r="B20" s="27" t="n">
        <x:v>395</x:v>
      </x:c>
      <x:c r="C20" s="27" t="n">
        <x:v>119</x:v>
      </x:c>
      <x:c r="D20" s="27" t="n">
        <x:v>260</x:v>
      </x:c>
      <x:c r="E20" s="27" t="n">
        <x:v>16</x:v>
      </x:c>
      <x:c r="F20" s="27" t="str">
        <x:v>NA</x:v>
      </x:c>
      <x:c r="G20" s="27" t="n">
        <x:v>375</x:v>
      </x:c>
      <x:c r="H20" s="27" t="n">
        <x:v>108</x:v>
      </x:c>
      <x:c r="I20" s="27" t="n">
        <x:v>251</x:v>
      </x:c>
      <x:c r="J20" s="27" t="n">
        <x:v>16</x:v>
      </x:c>
      <x:c r="K20" s="27" t="str">
        <x:v>NA</x:v>
      </x:c>
      <x:c r="L20" s="27" t="str">
        <x:v>NR</x:v>
      </x:c>
      <x:c r="M20" s="27" t="n">
        <x:v>321</x:v>
      </x:c>
      <x:c r="N20" s="27" t="n">
        <x:v>43</x:v>
      </x:c>
      <x:c r="O20" s="27" t="n">
        <x:v>5</x:v>
      </x:c>
      <x:c r="P20" s="27" t="n">
        <x:v>6</x:v>
      </x:c>
      <x:c r="Q20" s="27" t="str">
        <x:v>Yes</x:v>
      </x:c>
      <x:c r="R20" s="27" t="str">
        <x:v>Contemporaneous</x:v>
      </x:c>
      <x:c r="S20" s="27" t="str">
        <x:v>S014</x:v>
      </x:c>
      <x:c r="T20" s="27" t="str">
        <x:v>2015(1).pdf</x:v>
      </x:c>
      <x:c r="U20" s="27" t="str">
        <x:v>2</x:v>
      </x:c>
      <x:c r="V20" s="27" t="str">
        <x:v>UC</x:v>
      </x:c>
      <x:c r="W20" s="27" t="str">
        <x:f>IF(COUNT(C20:E20)=3,IF(SUM(C20:E20)=B20,"OK","CHECK"),"UC")</x:f>
        <x:v>OK</x:v>
      </x:c>
      <x:c r="X20" s="27" t="str">
        <x:f>IF(COUNT(H20:J20)=3,IF(SUM(H20:J20)=G20,"OK","CHECK"),"UC")</x:f>
        <x:v>OK</x:v>
      </x:c>
      <x:c r="Y20" s="27" t="str">
        <x:f>IF(ISNUMBER(M20),IF(Q20="Yes",IF(SUM(M20:P20)=G20,"OK","CHECK"),IF(Q20="No",IF(SUM(M20:O20)=G20,"OK","CHECK"),"UC")),"UC")</x:f>
        <x:v>OK</x:v>
      </x:c>
      <x:c r="Z20" s="27" t="str">
        <x:v>Ellerines business rescue drove furniture filings.</x:v>
      </x:c>
    </x:row>
    <x:row r="21">
      <x:c r="A21" s="27" t="str">
        <x:v>2015/16</x:v>
      </x:c>
      <x:c r="B21" s="27" t="n">
        <x:v>391</x:v>
      </x:c>
      <x:c r="C21" s="27" t="n">
        <x:v>116</x:v>
      </x:c>
      <x:c r="D21" s="27" t="n">
        <x:v>262</x:v>
      </x:c>
      <x:c r="E21" s="27" t="n">
        <x:v>13</x:v>
      </x:c>
      <x:c r="F21" s="27" t="str">
        <x:v>NA</x:v>
      </x:c>
      <x:c r="G21" s="27" t="n">
        <x:v>413</x:v>
      </x:c>
      <x:c r="H21" s="27" t="n">
        <x:v>129</x:v>
      </x:c>
      <x:c r="I21" s="27" t="n">
        <x:v>270</x:v>
      </x:c>
      <x:c r="J21" s="27" t="n">
        <x:v>14</x:v>
      </x:c>
      <x:c r="K21" s="27" t="str">
        <x:v>NA</x:v>
      </x:c>
      <x:c r="L21" s="27" t="str">
        <x:v>NR</x:v>
      </x:c>
      <x:c r="M21" s="27" t="n">
        <x:v>364</x:v>
      </x:c>
      <x:c r="N21" s="27" t="n">
        <x:v>37</x:v>
      </x:c>
      <x:c r="O21" s="27" t="n">
        <x:v>7</x:v>
      </x:c>
      <x:c r="P21" s="27" t="n">
        <x:v>5</x:v>
      </x:c>
      <x:c r="Q21" s="27" t="str">
        <x:v>Yes</x:v>
      </x:c>
      <x:c r="R21" s="27" t="str">
        <x:v>Contemporaneous</x:v>
      </x:c>
      <x:c r="S21" s="27" t="str">
        <x:v>S015</x:v>
      </x:c>
      <x:c r="T21" s="27" t="str">
        <x:v>2016(1).pdf</x:v>
      </x:c>
      <x:c r="U21" s="27" t="str">
        <x:v>4</x:v>
      </x:c>
      <x:c r="V21" s="27" t="str">
        <x:v>UC</x:v>
      </x:c>
      <x:c r="W21" s="27" t="str">
        <x:f>IF(COUNT(C21:E21)=3,IF(SUM(C21:E21)=B21,"OK","CHECK"),"UC")</x:f>
        <x:v>OK</x:v>
      </x:c>
      <x:c r="X21" s="27" t="str">
        <x:f>IF(COUNT(H21:J21)=3,IF(SUM(H21:J21)=G21,"OK","CHECK"),"UC")</x:f>
        <x:v>OK</x:v>
      </x:c>
      <x:c r="Y21" s="27" t="str">
        <x:f>IF(ISNUMBER(M21),IF(Q21="Yes",IF(SUM(M21:P21)=G21,"OK","CHECK"),IF(Q21="No",IF(SUM(M21:O21)=G21,"OK","CHECK"),"UC")),"UC")</x:f>
        <x:v>OK</x:v>
      </x:c>
      <x:c r="Z21" s="27" t="str">
        <x:v>Later rolling tables show 367 unconditional approvals.</x:v>
      </x:c>
    </x:row>
    <x:row r="22">
      <x:c r="A22" s="27" t="str">
        <x:v>2016/17</x:v>
      </x:c>
      <x:c r="B22" s="27" t="n">
        <x:v>418</x:v>
      </x:c>
      <x:c r="C22" s="27" t="n">
        <x:v>93</x:v>
      </x:c>
      <x:c r="D22" s="27" t="n">
        <x:v>319</x:v>
      </x:c>
      <x:c r="E22" s="27" t="n">
        <x:v>6</x:v>
      </x:c>
      <x:c r="F22" s="27" t="str">
        <x:v>NA</x:v>
      </x:c>
      <x:c r="G22" s="27" t="n">
        <x:v>385</x:v>
      </x:c>
      <x:c r="H22" s="27" t="n">
        <x:v>109</x:v>
      </x:c>
      <x:c r="I22" s="27" t="n">
        <x:v>270</x:v>
      </x:c>
      <x:c r="J22" s="27" t="n">
        <x:v>6</x:v>
      </x:c>
      <x:c r="K22" s="27" t="str">
        <x:v>NA</x:v>
      </x:c>
      <x:c r="L22" s="27" t="str">
        <x:v>NR</x:v>
      </x:c>
      <x:c r="M22" s="27" t="n">
        <x:v>349</x:v>
      </x:c>
      <x:c r="N22" s="27" t="n">
        <x:v>31</x:v>
      </x:c>
      <x:c r="O22" s="27" t="n">
        <x:v>5</x:v>
      </x:c>
      <x:c r="P22" s="27" t="n">
        <x:v>3</x:v>
      </x:c>
      <x:c r="Q22" s="27" t="str">
        <x:v>No</x:v>
      </x:c>
      <x:c r="R22" s="27" t="str">
        <x:v>Contemporaneous</x:v>
      </x:c>
      <x:c r="S22" s="27" t="str">
        <x:v>S016</x:v>
      </x:c>
      <x:c r="T22" s="27" t="str">
        <x:v>2017(1).pdf</x:v>
      </x:c>
      <x:c r="U22" s="27" t="str">
        <x:v>4</x:v>
      </x:c>
      <x:c r="V22" s="27" t="str">
        <x:v>UC</x:v>
      </x:c>
      <x:c r="W22" s="27" t="str">
        <x:f>IF(COUNT(C22:E22)=3,IF(SUM(C22:E22)=B22,"OK","CHECK"),"UC")</x:f>
        <x:v>OK</x:v>
      </x:c>
      <x:c r="X22" s="27" t="str">
        <x:f>IF(COUNT(H22:J22)=3,IF(SUM(H22:J22)=G22,"OK","CHECK"),"UC")</x:f>
        <x:v>OK</x:v>
      </x:c>
      <x:c r="Y22" s="27" t="str">
        <x:f>IF(ISNUMBER(M22),IF(Q22="Yes",IF(SUM(M22:P22)=G22,"OK","CHECK"),IF(Q22="No",IF(SUM(M22:O22)=G22,"OK","CHECK"),"UC")),"UC")</x:f>
        <x:v>OK</x:v>
      </x:c>
      <x:c r="Z22" s="27" t="str">
        <x:v>Decision outcomes 349+31+5=385; residual separately reported.</x:v>
      </x:c>
    </x:row>
    <x:row r="23">
      <x:c r="A23" s="27" t="str">
        <x:v>2017/18</x:v>
      </x:c>
      <x:c r="B23" s="27" t="n">
        <x:v>377</x:v>
      </x:c>
      <x:c r="C23" s="27" t="n">
        <x:v>119</x:v>
      </x:c>
      <x:c r="D23" s="27" t="n">
        <x:v>249</x:v>
      </x:c>
      <x:c r="E23" s="27" t="n">
        <x:v>9</x:v>
      </x:c>
      <x:c r="F23" s="27" t="str">
        <x:v>NA</x:v>
      </x:c>
      <x:c r="G23" s="27" t="n">
        <x:v>388</x:v>
      </x:c>
      <x:c r="H23" s="27" t="n">
        <x:v>120</x:v>
      </x:c>
      <x:c r="I23" s="27" t="n">
        <x:v>260</x:v>
      </x:c>
      <x:c r="J23" s="27" t="n">
        <x:v>8</x:v>
      </x:c>
      <x:c r="K23" s="27" t="str">
        <x:v>NA</x:v>
      </x:c>
      <x:c r="L23" s="27" t="str">
        <x:v>NR</x:v>
      </x:c>
      <x:c r="M23" s="27" t="n">
        <x:v>325</x:v>
      </x:c>
      <x:c r="N23" s="27" t="n">
        <x:v>52</x:v>
      </x:c>
      <x:c r="O23" s="27" t="n">
        <x:v>12</x:v>
      </x:c>
      <x:c r="P23" s="27" t="n">
        <x:v>9</x:v>
      </x:c>
      <x:c r="Q23" s="27" t="str">
        <x:v>UC</x:v>
      </x:c>
      <x:c r="R23" s="27" t="str">
        <x:v>Contemporaneous</x:v>
      </x:c>
      <x:c r="S23" s="27" t="str">
        <x:v>S017</x:v>
      </x:c>
      <x:c r="T23" s="27" t="str">
        <x:v>2018(1).pdf</x:v>
      </x:c>
      <x:c r="U23" s="27" t="str">
        <x:v>8</x:v>
      </x:c>
      <x:c r="V23" s="27" t="str">
        <x:v>UC</x:v>
      </x:c>
      <x:c r="W23" s="27" t="str">
        <x:f>IF(COUNT(C23:E23)=3,IF(SUM(C23:E23)=B23,"OK","CHECK"),"UC")</x:f>
        <x:v>OK</x:v>
      </x:c>
      <x:c r="X23" s="27" t="str">
        <x:f>IF(COUNT(H23:J23)=3,IF(SUM(H23:J23)=G23,"OK","CHECK"),"UC")</x:f>
        <x:v>OK</x:v>
      </x:c>
      <x:c r="Y23" s="27" t="str">
        <x:f>IF(ISNUMBER(M23),IF(Q23="Yes",IF(SUM(M23:P23)=G23,"OK","CHECK"),IF(Q23="No",IF(SUM(M23:O23)=G23,"OK","CHECK"),"UC")),"UC")</x:f>
        <x:v>UC</x:v>
      </x:c>
      <x:c r="Z23" s="27" t="str">
        <x:v>Outcome categories do not fully reconcile; preserve as published.</x:v>
      </x:c>
    </x:row>
    <x:row r="24">
      <x:c r="A24" s="27" t="str">
        <x:v>2018/19</x:v>
      </x:c>
      <x:c r="B24" s="27" t="n">
        <x:v>348</x:v>
      </x:c>
      <x:c r="C24" s="27" t="n">
        <x:v>104</x:v>
      </x:c>
      <x:c r="D24" s="27" t="n">
        <x:v>235</x:v>
      </x:c>
      <x:c r="E24" s="27" t="n">
        <x:v>9</x:v>
      </x:c>
      <x:c r="F24" s="27" t="str">
        <x:v>NA</x:v>
      </x:c>
      <x:c r="G24" s="27" t="n">
        <x:v>336</x:v>
      </x:c>
      <x:c r="H24" s="27" t="n">
        <x:v>106</x:v>
      </x:c>
      <x:c r="I24" s="27" t="n">
        <x:v>221</x:v>
      </x:c>
      <x:c r="J24" s="27" t="n">
        <x:v>9</x:v>
      </x:c>
      <x:c r="K24" s="27" t="str">
        <x:v>NA</x:v>
      </x:c>
      <x:c r="L24" s="27" t="str">
        <x:v>NR</x:v>
      </x:c>
      <x:c r="M24" s="27" t="n">
        <x:v>287</x:v>
      </x:c>
      <x:c r="N24" s="27" t="n">
        <x:v>41</x:v>
      </x:c>
      <x:c r="O24" s="27" t="n">
        <x:v>4</x:v>
      </x:c>
      <x:c r="P24" s="27" t="n">
        <x:v>4</x:v>
      </x:c>
      <x:c r="Q24" s="27" t="str">
        <x:v>Yes</x:v>
      </x:c>
      <x:c r="R24" s="27" t="str">
        <x:v>Contemporaneous</x:v>
      </x:c>
      <x:c r="S24" s="27" t="str">
        <x:v>S018</x:v>
      </x:c>
      <x:c r="T24" s="27" t="str">
        <x:v>2019(1).pdf</x:v>
      </x:c>
      <x:c r="U24" s="27" t="str">
        <x:v>3</x:v>
      </x:c>
      <x:c r="V24" s="27" t="str">
        <x:v>UC</x:v>
      </x:c>
      <x:c r="W24" s="27" t="str">
        <x:f>IF(COUNT(C24:E24)=3,IF(SUM(C24:E24)=B24,"OK","CHECK"),"UC")</x:f>
        <x:v>OK</x:v>
      </x:c>
      <x:c r="X24" s="27" t="str">
        <x:f>IF(COUNT(H24:J24)=3,IF(SUM(H24:J24)=G24,"OK","CHECK"),"UC")</x:f>
        <x:v>OK</x:v>
      </x:c>
      <x:c r="Y24" s="27" t="str">
        <x:f>IF(ISNUMBER(M24),IF(Q24="Yes",IF(SUM(M24:P24)=G24,"OK","CHECK"),IF(Q24="No",IF(SUM(M24:O24)=G24,"OK","CHECK"),"UC")),"UC")</x:f>
        <x:v>OK</x:v>
      </x:c>
      <x:c r="Z24" s="27" t="str">
        <x:v>All five M&amp;A performance targets met.</x:v>
      </x:c>
    </x:row>
    <x:row r="25">
      <x:c r="A25" s="27" t="str">
        <x:v>2019/20</x:v>
      </x:c>
      <x:c r="B25" s="27" t="n">
        <x:v>302</x:v>
      </x:c>
      <x:c r="C25" s="27" t="n">
        <x:v>82</x:v>
      </x:c>
      <x:c r="D25" s="27" t="n">
        <x:v>217</x:v>
      </x:c>
      <x:c r="E25" s="27" t="n">
        <x:v>3</x:v>
      </x:c>
      <x:c r="F25" s="27" t="str">
        <x:v>NA</x:v>
      </x:c>
      <x:c r="G25" s="27" t="n">
        <x:v>318</x:v>
      </x:c>
      <x:c r="H25" s="27" t="n">
        <x:v>84</x:v>
      </x:c>
      <x:c r="I25" s="27" t="n">
        <x:v>230</x:v>
      </x:c>
      <x:c r="J25" s="27" t="n">
        <x:v>4</x:v>
      </x:c>
      <x:c r="K25" s="27" t="str">
        <x:v>NA</x:v>
      </x:c>
      <x:c r="L25" s="27" t="str">
        <x:v>NR</x:v>
      </x:c>
      <x:c r="M25" s="27" t="n">
        <x:v>278</x:v>
      </x:c>
      <x:c r="N25" s="27" t="n">
        <x:v>33</x:v>
      </x:c>
      <x:c r="O25" s="27" t="n">
        <x:v>7</x:v>
      </x:c>
      <x:c r="P25" s="27" t="n">
        <x:v>3</x:v>
      </x:c>
      <x:c r="Q25" s="27" t="str">
        <x:v>No</x:v>
      </x:c>
      <x:c r="R25" s="27" t="str">
        <x:v>Contemporaneous</x:v>
      </x:c>
      <x:c r="S25" s="27" t="str">
        <x:v>S019</x:v>
      </x:c>
      <x:c r="T25" s="27" t="str">
        <x:v>2020(1).pdf</x:v>
      </x:c>
      <x:c r="U25" s="27" t="str">
        <x:v>2</x:v>
      </x:c>
      <x:c r="V25" s="27" t="str">
        <x:v>UC</x:v>
      </x:c>
      <x:c r="W25" s="27" t="str">
        <x:f>IF(COUNT(C25:E25)=3,IF(SUM(C25:E25)=B25,"OK","CHECK"),"UC")</x:f>
        <x:v>OK</x:v>
      </x:c>
      <x:c r="X25" s="27" t="str">
        <x:f>IF(COUNT(H25:J25)=3,IF(SUM(H25:J25)=G25,"OK","CHECK"),"UC")</x:f>
        <x:v>OK</x:v>
      </x:c>
      <x:c r="Y25" s="27" t="str">
        <x:f>IF(ISNUMBER(M25),IF(Q25="Yes",IF(SUM(M25:P25)=G25,"OK","CHECK"),IF(Q25="No",IF(SUM(M25:O25)=G25,"OK","CHECK"),"UC")),"UC")</x:f>
        <x:v>OK</x:v>
      </x:c>
      <x:c r="Z25" s="27" t="str">
        <x:v>Finalised footnote excludes abandoned/withdrawn, despite separate residual row.</x:v>
      </x:c>
    </x:row>
    <x:row r="26">
      <x:c r="A26" s="27" t="str">
        <x:v>2020/21</x:v>
      </x:c>
      <x:c r="B26" s="27" t="n">
        <x:v>242</x:v>
      </x:c>
      <x:c r="C26" s="27" t="n">
        <x:v>72</x:v>
      </x:c>
      <x:c r="D26" s="27" t="n">
        <x:v>161</x:v>
      </x:c>
      <x:c r="E26" s="27" t="n">
        <x:v>9</x:v>
      </x:c>
      <x:c r="F26" s="27" t="str">
        <x:v>NA</x:v>
      </x:c>
      <x:c r="G26" s="27" t="n">
        <x:v>225</x:v>
      </x:c>
      <x:c r="H26" s="27" t="n">
        <x:v>67</x:v>
      </x:c>
      <x:c r="I26" s="27" t="n">
        <x:v>150</x:v>
      </x:c>
      <x:c r="J26" s="27" t="n">
        <x:v>8</x:v>
      </x:c>
      <x:c r="K26" s="27" t="str">
        <x:v>NA</x:v>
      </x:c>
      <x:c r="L26" s="27" t="str">
        <x:v>NR</x:v>
      </x:c>
      <x:c r="M26" s="27" t="n">
        <x:v>189</x:v>
      </x:c>
      <x:c r="N26" s="27" t="n">
        <x:v>34</x:v>
      </x:c>
      <x:c r="O26" s="27" t="n">
        <x:v>2</x:v>
      </x:c>
      <x:c r="P26" s="27" t="n">
        <x:v>2</x:v>
      </x:c>
      <x:c r="Q26" s="27" t="str">
        <x:v>No</x:v>
      </x:c>
      <x:c r="R26" s="27" t="str">
        <x:v>Contemporaneous</x:v>
      </x:c>
      <x:c r="S26" s="27" t="str">
        <x:v>S020</x:v>
      </x:c>
      <x:c r="T26" s="27" t="str">
        <x:v>2021(1).pdf</x:v>
      </x:c>
      <x:c r="U26" s="27" t="str">
        <x:v>3</x:v>
      </x:c>
      <x:c r="V26" s="27" t="str">
        <x:v>UC</x:v>
      </x:c>
      <x:c r="W26" s="27" t="str">
        <x:f>IF(COUNT(C26:E26)=3,IF(SUM(C26:E26)=B26,"OK","CHECK"),"UC")</x:f>
        <x:v>OK</x:v>
      </x:c>
      <x:c r="X26" s="27" t="str">
        <x:f>IF(COUNT(H26:J26)=3,IF(SUM(H26:J26)=G26,"OK","CHECK"),"UC")</x:f>
        <x:v>OK</x:v>
      </x:c>
      <x:c r="Y26" s="27" t="str">
        <x:f>IF(ISNUMBER(M26),IF(Q26="Yes",IF(SUM(M26:P26)=G26,"OK","CHECK"),IF(Q26="No",IF(SUM(M26:O26)=G26,"OK","CHECK"),"UC")),"UC")</x:f>
        <x:v>OK</x:v>
      </x:c>
      <x:c r="Z26" s="27" t="str">
        <x:v>COVID-related subdued economic activity cited.</x:v>
      </x:c>
    </x:row>
    <x:row r="27">
      <x:c r="A27" s="27" t="str">
        <x:v>2021/22</x:v>
      </x:c>
      <x:c r="B27" s="27" t="n">
        <x:v>295</x:v>
      </x:c>
      <x:c r="C27" s="27" t="n">
        <x:v>89</x:v>
      </x:c>
      <x:c r="D27" s="27" t="n">
        <x:v>197</x:v>
      </x:c>
      <x:c r="E27" s="27" t="n">
        <x:v>9</x:v>
      </x:c>
      <x:c r="F27" s="27" t="str">
        <x:v>NA</x:v>
      </x:c>
      <x:c r="G27" s="27" t="n">
        <x:v>297</x:v>
      </x:c>
      <x:c r="H27" s="27" t="n">
        <x:v>92</x:v>
      </x:c>
      <x:c r="I27" s="27" t="n">
        <x:v>200</x:v>
      </x:c>
      <x:c r="J27" s="27" t="n">
        <x:v>5</x:v>
      </x:c>
      <x:c r="K27" s="27" t="str">
        <x:v>NA</x:v>
      </x:c>
      <x:c r="L27" s="27" t="str">
        <x:v>NR</x:v>
      </x:c>
      <x:c r="M27" s="27" t="n">
        <x:v>216</x:v>
      </x:c>
      <x:c r="N27" s="27" t="n">
        <x:v>74</x:v>
      </x:c>
      <x:c r="O27" s="27" t="n">
        <x:v>5</x:v>
      </x:c>
      <x:c r="P27" s="27" t="n">
        <x:v>2</x:v>
      </x:c>
      <x:c r="Q27" s="27" t="str">
        <x:v>Yes</x:v>
      </x:c>
      <x:c r="R27" s="27" t="str">
        <x:v>Contemporaneous</x:v>
      </x:c>
      <x:c r="S27" s="27" t="str">
        <x:v>S021</x:v>
      </x:c>
      <x:c r="T27" s="27" t="str">
        <x:v>2022(1).pdf</x:v>
      </x:c>
      <x:c r="U27" s="27" t="str">
        <x:v>2</x:v>
      </x:c>
      <x:c r="V27" s="27" t="str">
        <x:v>UC</x:v>
      </x:c>
      <x:c r="W27" s="27" t="str">
        <x:f>IF(COUNT(C27:E27)=3,IF(SUM(C27:E27)=B27,"OK","CHECK"),"UC")</x:f>
        <x:v>OK</x:v>
      </x:c>
      <x:c r="X27" s="27" t="str">
        <x:f>IF(COUNT(H27:J27)=3,IF(SUM(H27:J27)=G27,"OK","CHECK"),"UC")</x:f>
        <x:v>OK</x:v>
      </x:c>
      <x:c r="Y27" s="27" t="str">
        <x:f>IF(ISNUMBER(M27),IF(Q27="Yes",IF(SUM(M27:P27)=G27,"OK","CHECK"),IF(Q27="No",IF(SUM(M27:O27)=G27,"OK","CHECK"),"UC")),"UC")</x:f>
        <x:v>OK</x:v>
      </x:c>
      <x:c r="Z27" s="27" t="str">
        <x:v>Phase 3 large turnaround target missed.</x:v>
      </x:c>
    </x:row>
    <x:row r="28">
      <x:c r="A28" s="27" t="str">
        <x:v>2022/23</x:v>
      </x:c>
      <x:c r="B28" s="27" t="n">
        <x:v>273</x:v>
      </x:c>
      <x:c r="C28" s="27" t="n">
        <x:v>105</x:v>
      </x:c>
      <x:c r="D28" s="27" t="n">
        <x:v>165</x:v>
      </x:c>
      <x:c r="E28" s="27" t="n">
        <x:v>6</x:v>
      </x:c>
      <x:c r="F28" s="27" t="str">
        <x:v>NA</x:v>
      </x:c>
      <x:c r="G28" s="27" t="n">
        <x:v>258</x:v>
      </x:c>
      <x:c r="H28" s="27" t="n">
        <x:v>94</x:v>
      </x:c>
      <x:c r="I28" s="27" t="n">
        <x:v>154</x:v>
      </x:c>
      <x:c r="J28" s="27" t="n">
        <x:v>10</x:v>
      </x:c>
      <x:c r="K28" s="27" t="str">
        <x:v>NA</x:v>
      </x:c>
      <x:c r="L28" s="27" t="str">
        <x:v>NR</x:v>
      </x:c>
      <x:c r="M28" s="27" t="n">
        <x:v>189</x:v>
      </x:c>
      <x:c r="N28" s="27" t="n">
        <x:v>68</x:v>
      </x:c>
      <x:c r="O28" s="27" t="n">
        <x:v>1</x:v>
      </x:c>
      <x:c r="P28" s="27" t="n">
        <x:v>6</x:v>
      </x:c>
      <x:c r="Q28" s="27" t="str">
        <x:v>No</x:v>
      </x:c>
      <x:c r="R28" s="27" t="str">
        <x:v>Contemporaneous</x:v>
      </x:c>
      <x:c r="S28" s="27" t="str">
        <x:v>S022</x:v>
      </x:c>
      <x:c r="T28" s="27" t="str">
        <x:v>2023(1).pdf</x:v>
      </x:c>
      <x:c r="U28" s="27" t="str">
        <x:v>4</x:v>
      </x:c>
      <x:c r="V28" s="27" t="str">
        <x:v>55</x:v>
      </x:c>
      <x:c r="W28" s="27" t="str">
        <x:f>IF(COUNT(C28:E28)=3,IF(SUM(C28:E28)=B28,"OK","CHECK"),"UC")</x:f>
        <x:v>CHECK</x:v>
      </x:c>
      <x:c r="X28" s="27" t="str">
        <x:f>IF(COUNT(H28:J28)=3,IF(SUM(H28:J28)=G28,"OK","CHECK"),"UC")</x:f>
        <x:v>OK</x:v>
      </x:c>
      <x:c r="Y28" s="27" t="str">
        <x:f>IF(ISNUMBER(M28),IF(Q28="Yes",IF(SUM(M28:P28)=G28,"OK","CHECK"),IF(Q28="No",IF(SUM(M28:O28)=G28,"OK","CHECK"),"UC")),"UC")</x:f>
        <x:v>OK</x:v>
      </x:c>
      <x:c r="Z28" s="27" t="str">
        <x:v>Published notification components sum to 276, not total 273.</x:v>
      </x:c>
    </x:row>
    <x:row r="29">
      <x:c r="A29" s="27" t="str">
        <x:v>2023/24</x:v>
      </x:c>
      <x:c r="B29" s="27" t="n">
        <x:v>268</x:v>
      </x:c>
      <x:c r="C29" s="27" t="n">
        <x:v>85</x:v>
      </x:c>
      <x:c r="D29" s="27" t="n">
        <x:v>175</x:v>
      </x:c>
      <x:c r="E29" s="27" t="n">
        <x:v>8</x:v>
      </x:c>
      <x:c r="F29" s="27" t="str">
        <x:v>NA</x:v>
      </x:c>
      <x:c r="G29" s="27" t="n">
        <x:v>266</x:v>
      </x:c>
      <x:c r="H29" s="27" t="n">
        <x:v>89</x:v>
      </x:c>
      <x:c r="I29" s="27" t="n">
        <x:v>170</x:v>
      </x:c>
      <x:c r="J29" s="27" t="n">
        <x:v>4</x:v>
      </x:c>
      <x:c r="K29" s="27" t="str">
        <x:v>NA</x:v>
      </x:c>
      <x:c r="L29" s="27" t="str">
        <x:v>NR</x:v>
      </x:c>
      <x:c r="M29" s="27" t="n">
        <x:v>136</x:v>
      </x:c>
      <x:c r="N29" s="27" t="n">
        <x:v>126</x:v>
      </x:c>
      <x:c r="O29" s="27" t="n">
        <x:v>1</x:v>
      </x:c>
      <x:c r="P29" s="27" t="n">
        <x:v>3</x:v>
      </x:c>
      <x:c r="Q29" s="27" t="str">
        <x:v>Yes</x:v>
      </x:c>
      <x:c r="R29" s="27" t="str">
        <x:v>Contemporaneous</x:v>
      </x:c>
      <x:c r="S29" s="27" t="str">
        <x:v>S023</x:v>
      </x:c>
      <x:c r="T29" s="27" t="str">
        <x:v>2024.pdf</x:v>
      </x:c>
      <x:c r="U29" s="27" t="str">
        <x:v>3-4</x:v>
      </x:c>
      <x:c r="V29" s="27" t="str">
        <x:v>74-75</x:v>
      </x:c>
      <x:c r="W29" s="27" t="str">
        <x:f>IF(COUNT(C29:E29)=3,IF(SUM(C29:E29)=B29,"OK","CHECK"),"UC")</x:f>
        <x:v>OK</x:v>
      </x:c>
      <x:c r="X29" s="27" t="str">
        <x:f>IF(COUNT(H29:J29)=3,IF(SUM(H29:J29)=G29,"OK","CHECK"),"UC")</x:f>
        <x:v>CHECK</x:v>
      </x:c>
      <x:c r="Y29" s="27" t="str">
        <x:f>IF(ISNUMBER(M29),IF(Q29="Yes",IF(SUM(M29:P29)=G29,"OK","CHECK"),IF(Q29="No",IF(SUM(M29:O29)=G29,"OK","CHECK"),"UC")),"UC")</x:f>
        <x:v>OK</x:v>
      </x:c>
      <x:c r="Z29" s="27" t="str">
        <x:v>Conditional approvals approximately 47% of finalised cases.</x:v>
      </x:c>
    </x:row>
    <x:row r="30">
      <x:c r="A30" s="27" t="str">
        <x:v>2024/25</x:v>
      </x:c>
      <x:c r="B30" s="27" t="n">
        <x:v>330</x:v>
      </x:c>
      <x:c r="C30" s="27" t="n">
        <x:v>99</x:v>
      </x:c>
      <x:c r="D30" s="27" t="n">
        <x:v>215</x:v>
      </x:c>
      <x:c r="E30" s="27" t="n">
        <x:v>16</x:v>
      </x:c>
      <x:c r="F30" s="27" t="str">
        <x:v>NA</x:v>
      </x:c>
      <x:c r="G30" s="27" t="n">
        <x:v>330</x:v>
      </x:c>
      <x:c r="H30" s="27" t="n">
        <x:v>103</x:v>
      </x:c>
      <x:c r="I30" s="27" t="n">
        <x:v>210</x:v>
      </x:c>
      <x:c r="J30" s="27" t="n">
        <x:v>17</x:v>
      </x:c>
      <x:c r="K30" s="27" t="str">
        <x:v>NA</x:v>
      </x:c>
      <x:c r="L30" s="27" t="str">
        <x:v>NR</x:v>
      </x:c>
      <x:c r="M30" s="27" t="n">
        <x:v>196</x:v>
      </x:c>
      <x:c r="N30" s="27" t="n">
        <x:v>122</x:v>
      </x:c>
      <x:c r="O30" s="27" t="n">
        <x:v>2</x:v>
      </x:c>
      <x:c r="P30" s="27" t="n">
        <x:v>10</x:v>
      </x:c>
      <x:c r="Q30" s="27" t="str">
        <x:v>Yes</x:v>
      </x:c>
      <x:c r="R30" s="27" t="str">
        <x:v>Contemporaneous</x:v>
      </x:c>
      <x:c r="S30" s="27" t="str">
        <x:v>S024</x:v>
      </x:c>
      <x:c r="T30" s="27" t="str">
        <x:v>2025.pdf</x:v>
      </x:c>
      <x:c r="U30" s="27" t="str">
        <x:v>4</x:v>
      </x:c>
      <x:c r="V30" s="27" t="str">
        <x:v>91-92</x:v>
      </x:c>
      <x:c r="W30" s="27" t="str">
        <x:f>IF(COUNT(C30:E30)=3,IF(SUM(C30:E30)=B30,"OK","CHECK"),"UC")</x:f>
        <x:v>OK</x:v>
      </x:c>
      <x:c r="X30" s="27" t="str">
        <x:f>IF(COUNT(H30:J30)=3,IF(SUM(H30:J30)=G30,"OK","CHECK"),"UC")</x:f>
        <x:v>OK</x:v>
      </x:c>
      <x:c r="Y30" s="27" t="str">
        <x:f>IF(ISNUMBER(M30),IF(Q30="Yes",IF(SUM(M30:P30)=G30,"OK","CHECK"),IF(Q30="No",IF(SUM(M30:O30)=G30,"OK","CHECK"),"UC")),"UC")</x:f>
        <x:v>OK</x:v>
      </x:c>
      <x:c r="Z30" s="27" t="str">
        <x:v>Outcomes reconcile to 330.</x:v>
      </x:c>
    </x:row>
  </x:sheetData>
  <x:mergeCells>
    <x:mergeCell ref="A1:Z1"/>
    <x:mergeCell ref="A2:Z2"/>
  </x:mergeCells>
  <x:conditionalFormatting sqref="W5:Y30">
    <x:cfRule type="expression" dxfId="0" priority="1">
      <x:formula>W5="CHECK"</x:formula>
    </x:cfRule>
    <x:cfRule type="expression" dxfId="1" priority="2">
      <x:formula>W5="UC"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a0fe90089b5421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0" hidden="0" customWidth="1"/>
    <x:col min="4" max="4" width="13" hidden="0" customWidth="1"/>
    <x:col min="5" max="5" width="10" hidden="0" customWidth="1"/>
    <x:col min="6" max="6" width="12" hidden="0" customWidth="1"/>
    <x:col min="7" max="7" width="15" hidden="0" customWidth="1"/>
    <x:col min="8" max="8" width="12" hidden="0" customWidth="1"/>
    <x:col min="9" max="9" width="18" hidden="0" customWidth="1"/>
    <x:col min="10" max="10" width="16" hidden="0" customWidth="1"/>
    <x:col min="11" max="11" width="18" hidden="0" customWidth="1"/>
    <x:col min="12" max="12" width="10" hidden="0" customWidth="1"/>
  </x:cols>
  <x:sheetData>
    <x:row r="1" ht="28" customHeight="1">
      <x:c r="A1" s="4" t="str">
        <x:v>Notification Category and Threshold Spells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1" t="str">
        <x:v>Large/intermediate/small are statutory size classes. Shares and spell indices are researcher formulas from audited Commission totals.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 ht="30" customHeight="1">
      <x:c r="A4" s="20" t="str">
        <x:v>Financial year</x:v>
      </x:c>
      <x:c r="B4" s="20" t="str">
        <x:v>Notified total</x:v>
      </x:c>
      <x:c r="C4" s="20" t="str">
        <x:v>Large</x:v>
      </x:c>
      <x:c r="D4" s="20" t="str">
        <x:v>Intermediate</x:v>
      </x:c>
      <x:c r="E4" s="20" t="str">
        <x:v>Small</x:v>
      </x:c>
      <x:c r="F4" s="20" t="str">
        <x:v>Large share</x:v>
      </x:c>
      <x:c r="G4" s="20" t="str">
        <x:v>Intermediate share</x:v>
      </x:c>
      <x:c r="H4" s="20" t="str">
        <x:v>Small share</x:v>
      </x:c>
      <x:c r="I4" s="20" t="str">
        <x:v>Threshold regime</x:v>
      </x:c>
      <x:c r="J4" s="20" t="str">
        <x:v>Years since first full FY</x:v>
      </x:c>
      <x:c r="K4" s="20" t="str">
        <x:v>Index (reset FY=100)</x:v>
      </x:c>
      <x:c r="L4" s="20" t="str">
        <x:v>Source_ID</x:v>
      </x:c>
    </x:row>
    <x:row r="5">
      <x:c r="A5" s="27" t="str">
        <x:v>1999/00</x:v>
      </x:c>
      <x:c r="B5" s="27" t="n">
        <x:v>331</x:v>
      </x:c>
      <x:c r="C5" s="27" t="n">
        <x:v>20</x:v>
      </x:c>
      <x:c r="D5" s="27" t="n">
        <x:v>175</x:v>
      </x:c>
      <x:c r="E5" s="27" t="str">
        <x:v>NR</x:v>
      </x:c>
      <x:c r="F5" s="30" t="n">
        <x:f>IF(AND(ISNUMBER(C5),ISNUMBER(B5)),C5/B5,"")</x:f>
        <x:v>0.06042296072507553</x:v>
      </x:c>
      <x:c r="G5" s="30" t="n">
        <x:f>IF(AND(ISNUMBER(D5),ISNUMBER(B5)),D5/B5,"")</x:f>
        <x:v>0.5287009063444109</x:v>
      </x:c>
      <x:c r="H5" s="30" t="str">
        <x:f>IF(AND(ISNUMBER(E5),ISNUMBER(B5)),E5/B5,"")</x:f>
      </x:c>
      <x:c r="I5" s="27" t="str">
        <x:v>Transitional</x:v>
      </x:c>
      <x:c r="J5" s="27" t="str">
        <x:v>NA</x:v>
      </x:c>
      <x:c r="K5" s="32" t="str">
        <x:f>""</x:f>
      </x:c>
      <x:c r="L5" s="27" t="str">
        <x:v>S001</x:v>
      </x:c>
    </x:row>
    <x:row r="6">
      <x:c r="A6" s="27" t="str">
        <x:v>2000/01</x:v>
      </x:c>
      <x:c r="B6" s="27" t="n">
        <x:v>407</x:v>
      </x:c>
      <x:c r="C6" s="27" t="n">
        <x:v>16</x:v>
      </x:c>
      <x:c r="D6" s="27" t="n">
        <x:v>375</x:v>
      </x:c>
      <x:c r="E6" s="27" t="n">
        <x:v>16</x:v>
      </x:c>
      <x:c r="F6" s="30" t="n">
        <x:f>IF(AND(ISNUMBER(C6),ISNUMBER(B6)),C6/B6,"")</x:f>
        <x:v>0.03931203931203931</x:v>
      </x:c>
      <x:c r="G6" s="30" t="n">
        <x:f>IF(AND(ISNUMBER(D6),ISNUMBER(B6)),D6/B6,"")</x:f>
        <x:v>0.9213759213759214</x:v>
      </x:c>
      <x:c r="H6" s="30" t="n">
        <x:f>IF(AND(ISNUMBER(E6),ISNUMBER(B6)),E6/B6,"")</x:f>
        <x:v>0.03931203931203931</x:v>
      </x:c>
      <x:c r="I6" s="27" t="str">
        <x:v>Transitional</x:v>
      </x:c>
      <x:c r="J6" s="27" t="str">
        <x:v>NA</x:v>
      </x:c>
      <x:c r="K6" s="32" t="str">
        <x:f>""</x:f>
      </x:c>
      <x:c r="L6" s="27" t="str">
        <x:v>S001</x:v>
      </x:c>
    </x:row>
    <x:row r="7">
      <x:c r="A7" s="27" t="str">
        <x:v>2001/02</x:v>
      </x:c>
      <x:c r="B7" s="27" t="n">
        <x:v>220</x:v>
      </x:c>
      <x:c r="C7" s="27" t="n">
        <x:v>46</x:v>
      </x:c>
      <x:c r="D7" s="27" t="n">
        <x:v>169</x:v>
      </x:c>
      <x:c r="E7" s="27" t="n">
        <x:v>5</x:v>
      </x:c>
      <x:c r="F7" s="30" t="n">
        <x:f>IF(AND(ISNUMBER(C7),ISNUMBER(B7)),C7/B7,"")</x:f>
        <x:v>0.20909090909090908</x:v>
      </x:c>
      <x:c r="G7" s="30" t="n">
        <x:f>IF(AND(ISNUMBER(D7),ISNUMBER(B7)),D7/B7,"")</x:f>
        <x:v>0.7681818181818182</x:v>
      </x:c>
      <x:c r="H7" s="30" t="n">
        <x:f>IF(AND(ISNUMBER(E7),ISNUMBER(B7)),E7/B7,"")</x:f>
        <x:v>0.022727272727272728</x:v>
      </x:c>
      <x:c r="I7" s="27" t="str">
        <x:v>2001 threshold</x:v>
      </x:c>
      <x:c r="J7" s="27" t="n">
        <x:v>0</x:v>
      </x:c>
      <x:c r="K7" s="32" t="n">
        <x:f>B7/$B$7*100</x:f>
        <x:v>100</x:v>
      </x:c>
      <x:c r="L7" s="27" t="str">
        <x:v>S002</x:v>
      </x:c>
    </x:row>
    <x:row r="8">
      <x:c r="A8" s="27" t="str">
        <x:v>2002/03</x:v>
      </x:c>
      <x:c r="B8" s="27" t="n">
        <x:v>211</x:v>
      </x:c>
      <x:c r="C8" s="27" t="n">
        <x:v>68</x:v>
      </x:c>
      <x:c r="D8" s="27" t="n">
        <x:v>138</x:v>
      </x:c>
      <x:c r="E8" s="27" t="n">
        <x:v>5</x:v>
      </x:c>
      <x:c r="F8" s="30" t="n">
        <x:f>IF(AND(ISNUMBER(C8),ISNUMBER(B8)),C8/B8,"")</x:f>
        <x:v>0.3222748815165877</x:v>
      </x:c>
      <x:c r="G8" s="30" t="n">
        <x:f>IF(AND(ISNUMBER(D8),ISNUMBER(B8)),D8/B8,"")</x:f>
        <x:v>0.6540284360189573</x:v>
      </x:c>
      <x:c r="H8" s="30" t="n">
        <x:f>IF(AND(ISNUMBER(E8),ISNUMBER(B8)),E8/B8,"")</x:f>
        <x:v>0.023696682464454975</x:v>
      </x:c>
      <x:c r="I8" s="27" t="str">
        <x:v>2001 threshold</x:v>
      </x:c>
      <x:c r="J8" s="27" t="n">
        <x:v>1</x:v>
      </x:c>
      <x:c r="K8" s="32" t="n">
        <x:f>B8/$B$7*100</x:f>
        <x:v>95.9090909090909</x:v>
      </x:c>
      <x:c r="L8" s="27" t="str">
        <x:v>S002</x:v>
      </x:c>
    </x:row>
    <x:row r="9">
      <x:c r="A9" s="27" t="str">
        <x:v>2003/04</x:v>
      </x:c>
      <x:c r="B9" s="27" t="n">
        <x:v>284</x:v>
      </x:c>
      <x:c r="C9" s="27" t="n">
        <x:v>65</x:v>
      </x:c>
      <x:c r="D9" s="27" t="n">
        <x:v>213</x:v>
      </x:c>
      <x:c r="E9" s="27" t="n">
        <x:v>6</x:v>
      </x:c>
      <x:c r="F9" s="30" t="n">
        <x:f>IF(AND(ISNUMBER(C9),ISNUMBER(B9)),C9/B9,"")</x:f>
        <x:v>0.22887323943661972</x:v>
      </x:c>
      <x:c r="G9" s="30" t="n">
        <x:f>IF(AND(ISNUMBER(D9),ISNUMBER(B9)),D9/B9,"")</x:f>
        <x:v>0.75</x:v>
      </x:c>
      <x:c r="H9" s="30" t="n">
        <x:f>IF(AND(ISNUMBER(E9),ISNUMBER(B9)),E9/B9,"")</x:f>
        <x:v>0.02112676056338028</x:v>
      </x:c>
      <x:c r="I9" s="27" t="str">
        <x:v>2001 threshold</x:v>
      </x:c>
      <x:c r="J9" s="27" t="n">
        <x:v>2</x:v>
      </x:c>
      <x:c r="K9" s="32" t="n">
        <x:f>B9/$B$7*100</x:f>
        <x:v>129.0909090909091</x:v>
      </x:c>
      <x:c r="L9" s="27" t="str">
        <x:v>S003</x:v>
      </x:c>
    </x:row>
    <x:row r="10">
      <x:c r="A10" s="27" t="str">
        <x:v>2004/05</x:v>
      </x:c>
      <x:c r="B10" s="27" t="n">
        <x:v>311</x:v>
      </x:c>
      <x:c r="C10" s="27" t="n">
        <x:v>72</x:v>
      </x:c>
      <x:c r="D10" s="27" t="n">
        <x:v>233</x:v>
      </x:c>
      <x:c r="E10" s="27" t="n">
        <x:v>6</x:v>
      </x:c>
      <x:c r="F10" s="30" t="n">
        <x:f>IF(AND(ISNUMBER(C10),ISNUMBER(B10)),C10/B10,"")</x:f>
        <x:v>0.2315112540192926</x:v>
      </x:c>
      <x:c r="G10" s="30" t="n">
        <x:f>IF(AND(ISNUMBER(D10),ISNUMBER(B10)),D10/B10,"")</x:f>
        <x:v>0.7491961414790996</x:v>
      </x:c>
      <x:c r="H10" s="30" t="n">
        <x:f>IF(AND(ISNUMBER(E10),ISNUMBER(B10)),E10/B10,"")</x:f>
        <x:v>0.01929260450160772</x:v>
      </x:c>
      <x:c r="I10" s="27" t="str">
        <x:v>2001 threshold</x:v>
      </x:c>
      <x:c r="J10" s="27" t="n">
        <x:v>3</x:v>
      </x:c>
      <x:c r="K10" s="32" t="n">
        <x:f>B10/$B$7*100</x:f>
        <x:v>141.36363636363635</x:v>
      </x:c>
      <x:c r="L10" s="27" t="str">
        <x:v>S004</x:v>
      </x:c>
    </x:row>
    <x:row r="11">
      <x:c r="A11" s="27" t="str">
        <x:v>2005/06</x:v>
      </x:c>
      <x:c r="B11" s="27" t="n">
        <x:v>408</x:v>
      </x:c>
      <x:c r="C11" s="27" t="n">
        <x:v>97</x:v>
      </x:c>
      <x:c r="D11" s="27" t="n">
        <x:v>300</x:v>
      </x:c>
      <x:c r="E11" s="27" t="n">
        <x:v>11</x:v>
      </x:c>
      <x:c r="F11" s="30" t="n">
        <x:f>IF(AND(ISNUMBER(C11),ISNUMBER(B11)),C11/B11,"")</x:f>
        <x:v>0.23774509803921567</x:v>
      </x:c>
      <x:c r="G11" s="30" t="n">
        <x:f>IF(AND(ISNUMBER(D11),ISNUMBER(B11)),D11/B11,"")</x:f>
        <x:v>0.7352941176470589</x:v>
      </x:c>
      <x:c r="H11" s="30" t="n">
        <x:f>IF(AND(ISNUMBER(E11),ISNUMBER(B11)),E11/B11,"")</x:f>
        <x:v>0.02696078431372549</x:v>
      </x:c>
      <x:c r="I11" s="27" t="str">
        <x:v>2001 threshold</x:v>
      </x:c>
      <x:c r="J11" s="27" t="n">
        <x:v>4</x:v>
      </x:c>
      <x:c r="K11" s="32" t="n">
        <x:f>B11/$B$7*100</x:f>
        <x:v>185.45454545454544</x:v>
      </x:c>
      <x:c r="L11" s="27" t="str">
        <x:v>S005</x:v>
      </x:c>
    </x:row>
    <x:row r="12">
      <x:c r="A12" s="27" t="str">
        <x:v>2006/07</x:v>
      </x:c>
      <x:c r="B12" s="27" t="n">
        <x:v>413</x:v>
      </x:c>
      <x:c r="C12" s="27" t="n">
        <x:v>94</x:v>
      </x:c>
      <x:c r="D12" s="27" t="n">
        <x:v>317</x:v>
      </x:c>
      <x:c r="E12" s="27" t="n">
        <x:v>2</x:v>
      </x:c>
      <x:c r="F12" s="30" t="n">
        <x:f>IF(AND(ISNUMBER(C12),ISNUMBER(B12)),C12/B12,"")</x:f>
        <x:v>0.22760290556900725</x:v>
      </x:c>
      <x:c r="G12" s="30" t="n">
        <x:f>IF(AND(ISNUMBER(D12),ISNUMBER(B12)),D12/B12,"")</x:f>
        <x:v>0.7675544794188862</x:v>
      </x:c>
      <x:c r="H12" s="30" t="n">
        <x:f>IF(AND(ISNUMBER(E12),ISNUMBER(B12)),E12/B12,"")</x:f>
        <x:v>0.004842615012106538</x:v>
      </x:c>
      <x:c r="I12" s="27" t="str">
        <x:v>2001 threshold</x:v>
      </x:c>
      <x:c r="J12" s="27" t="n">
        <x:v>5</x:v>
      </x:c>
      <x:c r="K12" s="32" t="n">
        <x:f>B12/$B$7*100</x:f>
        <x:v>187.72727272727272</x:v>
      </x:c>
      <x:c r="L12" s="27" t="str">
        <x:v>S006</x:v>
      </x:c>
    </x:row>
    <x:row r="13">
      <x:c r="A13" s="27" t="str">
        <x:v>2007/08</x:v>
      </x:c>
      <x:c r="B13" s="27" t="n">
        <x:v>513</x:v>
      </x:c>
      <x:c r="C13" s="27" t="n">
        <x:v>106</x:v>
      </x:c>
      <x:c r="D13" s="27" t="n">
        <x:v>394</x:v>
      </x:c>
      <x:c r="E13" s="27" t="n">
        <x:v>13</x:v>
      </x:c>
      <x:c r="F13" s="30" t="n">
        <x:f>IF(AND(ISNUMBER(C13),ISNUMBER(B13)),C13/B13,"")</x:f>
        <x:v>0.20662768031189083</x:v>
      </x:c>
      <x:c r="G13" s="30" t="n">
        <x:f>IF(AND(ISNUMBER(D13),ISNUMBER(B13)),D13/B13,"")</x:f>
        <x:v>0.7680311890838206</x:v>
      </x:c>
      <x:c r="H13" s="30" t="n">
        <x:f>IF(AND(ISNUMBER(E13),ISNUMBER(B13)),E13/B13,"")</x:f>
        <x:v>0.025341130604288498</x:v>
      </x:c>
      <x:c r="I13" s="27" t="str">
        <x:v>2001 threshold</x:v>
      </x:c>
      <x:c r="J13" s="27" t="n">
        <x:v>6</x:v>
      </x:c>
      <x:c r="K13" s="32" t="n">
        <x:f>B13/$B$7*100</x:f>
        <x:v>233.1818181818182</x:v>
      </x:c>
      <x:c r="L13" s="27" t="str">
        <x:v>S007</x:v>
      </x:c>
    </x:row>
    <x:row r="14">
      <x:c r="A14" s="27" t="str">
        <x:v>2008/09</x:v>
      </x:c>
      <x:c r="B14" s="27" t="n">
        <x:v>415</x:v>
      </x:c>
      <x:c r="C14" s="27" t="n">
        <x:v>103</x:v>
      </x:c>
      <x:c r="D14" s="27" t="n">
        <x:v>303</x:v>
      </x:c>
      <x:c r="E14" s="27" t="n">
        <x:v>9</x:v>
      </x:c>
      <x:c r="F14" s="30" t="n">
        <x:f>IF(AND(ISNUMBER(C14),ISNUMBER(B14)),C14/B14,"")</x:f>
        <x:v>0.24819277108433735</x:v>
      </x:c>
      <x:c r="G14" s="30" t="n">
        <x:f>IF(AND(ISNUMBER(D14),ISNUMBER(B14)),D14/B14,"")</x:f>
        <x:v>0.7301204819277108</x:v>
      </x:c>
      <x:c r="H14" s="30" t="n">
        <x:f>IF(AND(ISNUMBER(E14),ISNUMBER(B14)),E14/B14,"")</x:f>
        <x:v>0.021686746987951807</x:v>
      </x:c>
      <x:c r="I14" s="27" t="str">
        <x:v>2001 threshold</x:v>
      </x:c>
      <x:c r="J14" s="27" t="n">
        <x:v>7</x:v>
      </x:c>
      <x:c r="K14" s="32" t="n">
        <x:f>B14/$B$7*100</x:f>
        <x:v>188.63636363636365</x:v>
      </x:c>
      <x:c r="L14" s="27" t="str">
        <x:v>S009</x:v>
      </x:c>
    </x:row>
    <x:row r="15">
      <x:c r="A15" s="27" t="str">
        <x:v>2009/10</x:v>
      </x:c>
      <x:c r="B15" s="27" t="n">
        <x:v>190</x:v>
      </x:c>
      <x:c r="C15" s="27" t="n">
        <x:v>44</x:v>
      </x:c>
      <x:c r="D15" s="27" t="n">
        <x:v>136</x:v>
      </x:c>
      <x:c r="E15" s="27" t="n">
        <x:v>10</x:v>
      </x:c>
      <x:c r="F15" s="30" t="n">
        <x:f>IF(AND(ISNUMBER(C15),ISNUMBER(B15)),C15/B15,"")</x:f>
        <x:v>0.23157894736842105</x:v>
      </x:c>
      <x:c r="G15" s="30" t="n">
        <x:f>IF(AND(ISNUMBER(D15),ISNUMBER(B15)),D15/B15,"")</x:f>
        <x:v>0.7157894736842105</x:v>
      </x:c>
      <x:c r="H15" s="30" t="n">
        <x:f>IF(AND(ISNUMBER(E15),ISNUMBER(B15)),E15/B15,"")</x:f>
        <x:v>0.05263157894736842</x:v>
      </x:c>
      <x:c r="I15" s="27" t="str">
        <x:v>2009 threshold</x:v>
      </x:c>
      <x:c r="J15" s="27" t="n">
        <x:v>0</x:v>
      </x:c>
      <x:c r="K15" s="32" t="n">
        <x:f>B15/$B$15*100</x:f>
        <x:v>100</x:v>
      </x:c>
      <x:c r="L15" s="27" t="str">
        <x:v>S009</x:v>
      </x:c>
    </x:row>
    <x:row r="16">
      <x:c r="A16" s="27" t="str">
        <x:v>2010/11</x:v>
      </x:c>
      <x:c r="B16" s="27" t="n">
        <x:v>229</x:v>
      </x:c>
      <x:c r="C16" s="27" t="n">
        <x:v>60</x:v>
      </x:c>
      <x:c r="D16" s="27" t="n">
        <x:v>150</x:v>
      </x:c>
      <x:c r="E16" s="27" t="n">
        <x:v>19</x:v>
      </x:c>
      <x:c r="F16" s="30" t="n">
        <x:f>IF(AND(ISNUMBER(C16),ISNUMBER(B16)),C16/B16,"")</x:f>
        <x:v>0.26200873362445415</x:v>
      </x:c>
      <x:c r="G16" s="30" t="n">
        <x:f>IF(AND(ISNUMBER(D16),ISNUMBER(B16)),D16/B16,"")</x:f>
        <x:v>0.6550218340611353</x:v>
      </x:c>
      <x:c r="H16" s="30" t="n">
        <x:f>IF(AND(ISNUMBER(E16),ISNUMBER(B16)),E16/B16,"")</x:f>
        <x:v>0.08296943231441048</x:v>
      </x:c>
      <x:c r="I16" s="27" t="str">
        <x:v>2009 threshold</x:v>
      </x:c>
      <x:c r="J16" s="27" t="n">
        <x:v>1</x:v>
      </x:c>
      <x:c r="K16" s="32" t="n">
        <x:f>B16/$B$15*100</x:f>
        <x:v>120.52631578947368</x:v>
      </x:c>
      <x:c r="L16" s="27" t="str">
        <x:v>S011</x:v>
      </x:c>
    </x:row>
    <x:row r="17">
      <x:c r="A17" s="27" t="str">
        <x:v>2011/12</x:v>
      </x:c>
      <x:c r="B17" s="27" t="n">
        <x:v>291</x:v>
      </x:c>
      <x:c r="C17" s="27" t="n">
        <x:v>88</x:v>
      </x:c>
      <x:c r="D17" s="27" t="n">
        <x:v>186</x:v>
      </x:c>
      <x:c r="E17" s="27" t="n">
        <x:v>17</x:v>
      </x:c>
      <x:c r="F17" s="30" t="n">
        <x:f>IF(AND(ISNUMBER(C17),ISNUMBER(B17)),C17/B17,"")</x:f>
        <x:v>0.3024054982817869</x:v>
      </x:c>
      <x:c r="G17" s="30" t="n">
        <x:f>IF(AND(ISNUMBER(D17),ISNUMBER(B17)),D17/B17,"")</x:f>
        <x:v>0.6391752577319587</x:v>
      </x:c>
      <x:c r="H17" s="30" t="n">
        <x:f>IF(AND(ISNUMBER(E17),ISNUMBER(B17)),E17/B17,"")</x:f>
        <x:v>0.058419243986254296</x:v>
      </x:c>
      <x:c r="I17" s="27" t="str">
        <x:v>2009 threshold</x:v>
      </x:c>
      <x:c r="J17" s="27" t="n">
        <x:v>2</x:v>
      </x:c>
      <x:c r="K17" s="32" t="n">
        <x:f>B17/$B$15*100</x:f>
        <x:v>153.1578947368421</x:v>
      </x:c>
      <x:c r="L17" s="27" t="str">
        <x:v>S011</x:v>
      </x:c>
    </x:row>
    <x:row r="18">
      <x:c r="A18" s="27" t="str">
        <x:v>2012/13</x:v>
      </x:c>
      <x:c r="B18" s="27" t="n">
        <x:v>324</x:v>
      </x:c>
      <x:c r="C18" s="27" t="n">
        <x:v>68</x:v>
      </x:c>
      <x:c r="D18" s="27" t="n">
        <x:v>223</x:v>
      </x:c>
      <x:c r="E18" s="27" t="n">
        <x:v>33</x:v>
      </x:c>
      <x:c r="F18" s="30" t="n">
        <x:f>IF(AND(ISNUMBER(C18),ISNUMBER(B18)),C18/B18,"")</x:f>
        <x:v>0.20987654320987653</x:v>
      </x:c>
      <x:c r="G18" s="30" t="n">
        <x:f>IF(AND(ISNUMBER(D18),ISNUMBER(B18)),D18/B18,"")</x:f>
        <x:v>0.6882716049382716</x:v>
      </x:c>
      <x:c r="H18" s="30" t="n">
        <x:f>IF(AND(ISNUMBER(E18),ISNUMBER(B18)),E18/B18,"")</x:f>
        <x:v>0.10185185185185185</x:v>
      </x:c>
      <x:c r="I18" s="27" t="str">
        <x:v>2009 threshold</x:v>
      </x:c>
      <x:c r="J18" s="27" t="n">
        <x:v>3</x:v>
      </x:c>
      <x:c r="K18" s="32" t="n">
        <x:f>B18/$B$15*100</x:f>
        <x:v>170.52631578947367</x:v>
      </x:c>
      <x:c r="L18" s="27" t="str">
        <x:v>S012</x:v>
      </x:c>
    </x:row>
    <x:row r="19">
      <x:c r="A19" s="27" t="str">
        <x:v>2013/14</x:v>
      </x:c>
      <x:c r="B19" s="27" t="n">
        <x:v>320</x:v>
      </x:c>
      <x:c r="C19" s="27" t="n">
        <x:v>95</x:v>
      </x:c>
      <x:c r="D19" s="27" t="n">
        <x:v>209</x:v>
      </x:c>
      <x:c r="E19" s="27" t="n">
        <x:v>16</x:v>
      </x:c>
      <x:c r="F19" s="30" t="n">
        <x:f>IF(AND(ISNUMBER(C19),ISNUMBER(B19)),C19/B19,"")</x:f>
        <x:v>0.296875</x:v>
      </x:c>
      <x:c r="G19" s="30" t="n">
        <x:f>IF(AND(ISNUMBER(D19),ISNUMBER(B19)),D19/B19,"")</x:f>
        <x:v>0.653125</x:v>
      </x:c>
      <x:c r="H19" s="30" t="n">
        <x:f>IF(AND(ISNUMBER(E19),ISNUMBER(B19)),E19/B19,"")</x:f>
        <x:v>0.05</x:v>
      </x:c>
      <x:c r="I19" s="27" t="str">
        <x:v>2009 threshold</x:v>
      </x:c>
      <x:c r="J19" s="27" t="n">
        <x:v>4</x:v>
      </x:c>
      <x:c r="K19" s="32" t="n">
        <x:f>B19/$B$15*100</x:f>
        <x:v>168.42105263157893</x:v>
      </x:c>
      <x:c r="L19" s="27" t="str">
        <x:v>S013</x:v>
      </x:c>
    </x:row>
    <x:row r="20">
      <x:c r="A20" s="27" t="str">
        <x:v>2014/15</x:v>
      </x:c>
      <x:c r="B20" s="27" t="n">
        <x:v>395</x:v>
      </x:c>
      <x:c r="C20" s="27" t="n">
        <x:v>119</x:v>
      </x:c>
      <x:c r="D20" s="27" t="n">
        <x:v>260</x:v>
      </x:c>
      <x:c r="E20" s="27" t="n">
        <x:v>16</x:v>
      </x:c>
      <x:c r="F20" s="30" t="n">
        <x:f>IF(AND(ISNUMBER(C20),ISNUMBER(B20)),C20/B20,"")</x:f>
        <x:v>0.3012658227848101</x:v>
      </x:c>
      <x:c r="G20" s="30" t="n">
        <x:f>IF(AND(ISNUMBER(D20),ISNUMBER(B20)),D20/B20,"")</x:f>
        <x:v>0.6582278481012658</x:v>
      </x:c>
      <x:c r="H20" s="30" t="n">
        <x:f>IF(AND(ISNUMBER(E20),ISNUMBER(B20)),E20/B20,"")</x:f>
        <x:v>0.04050632911392405</x:v>
      </x:c>
      <x:c r="I20" s="27" t="str">
        <x:v>2009 threshold</x:v>
      </x:c>
      <x:c r="J20" s="27" t="n">
        <x:v>5</x:v>
      </x:c>
      <x:c r="K20" s="32" t="n">
        <x:f>B20/$B$15*100</x:f>
        <x:v>207.89473684210526</x:v>
      </x:c>
      <x:c r="L20" s="27" t="str">
        <x:v>S014</x:v>
      </x:c>
    </x:row>
    <x:row r="21">
      <x:c r="A21" s="27" t="str">
        <x:v>2015/16</x:v>
      </x:c>
      <x:c r="B21" s="27" t="n">
        <x:v>391</x:v>
      </x:c>
      <x:c r="C21" s="27" t="n">
        <x:v>116</x:v>
      </x:c>
      <x:c r="D21" s="27" t="n">
        <x:v>262</x:v>
      </x:c>
      <x:c r="E21" s="27" t="n">
        <x:v>13</x:v>
      </x:c>
      <x:c r="F21" s="30" t="n">
        <x:f>IF(AND(ISNUMBER(C21),ISNUMBER(B21)),C21/B21,"")</x:f>
        <x:v>0.2966751918158568</x:v>
      </x:c>
      <x:c r="G21" s="30" t="n">
        <x:f>IF(AND(ISNUMBER(D21),ISNUMBER(B21)),D21/B21,"")</x:f>
        <x:v>0.670076726342711</x:v>
      </x:c>
      <x:c r="H21" s="30" t="n">
        <x:f>IF(AND(ISNUMBER(E21),ISNUMBER(B21)),E21/B21,"")</x:f>
        <x:v>0.03324808184143223</x:v>
      </x:c>
      <x:c r="I21" s="27" t="str">
        <x:v>2009 threshold</x:v>
      </x:c>
      <x:c r="J21" s="27" t="n">
        <x:v>6</x:v>
      </x:c>
      <x:c r="K21" s="32" t="n">
        <x:f>B21/$B$15*100</x:f>
        <x:v>205.78947368421052</x:v>
      </x:c>
      <x:c r="L21" s="27" t="str">
        <x:v>S015</x:v>
      </x:c>
    </x:row>
    <x:row r="22">
      <x:c r="A22" s="27" t="str">
        <x:v>2016/17</x:v>
      </x:c>
      <x:c r="B22" s="27" t="n">
        <x:v>418</x:v>
      </x:c>
      <x:c r="C22" s="27" t="n">
        <x:v>93</x:v>
      </x:c>
      <x:c r="D22" s="27" t="n">
        <x:v>319</x:v>
      </x:c>
      <x:c r="E22" s="27" t="n">
        <x:v>6</x:v>
      </x:c>
      <x:c r="F22" s="30" t="n">
        <x:f>IF(AND(ISNUMBER(C22),ISNUMBER(B22)),C22/B22,"")</x:f>
        <x:v>0.22248803827751196</x:v>
      </x:c>
      <x:c r="G22" s="30" t="n">
        <x:f>IF(AND(ISNUMBER(D22),ISNUMBER(B22)),D22/B22,"")</x:f>
        <x:v>0.7631578947368421</x:v>
      </x:c>
      <x:c r="H22" s="30" t="n">
        <x:f>IF(AND(ISNUMBER(E22),ISNUMBER(B22)),E22/B22,"")</x:f>
        <x:v>0.014354066985645933</x:v>
      </x:c>
      <x:c r="I22" s="27" t="str">
        <x:v>2009 threshold</x:v>
      </x:c>
      <x:c r="J22" s="27" t="n">
        <x:v>7</x:v>
      </x:c>
      <x:c r="K22" s="32" t="n">
        <x:f>B22/$B$15*100</x:f>
        <x:v>220.00000000000003</x:v>
      </x:c>
      <x:c r="L22" s="27" t="str">
        <x:v>S016</x:v>
      </x:c>
    </x:row>
    <x:row r="23">
      <x:c r="A23" s="27" t="str">
        <x:v>2017/18</x:v>
      </x:c>
      <x:c r="B23" s="27" t="n">
        <x:v>377</x:v>
      </x:c>
      <x:c r="C23" s="27" t="n">
        <x:v>119</x:v>
      </x:c>
      <x:c r="D23" s="27" t="n">
        <x:v>249</x:v>
      </x:c>
      <x:c r="E23" s="27" t="n">
        <x:v>9</x:v>
      </x:c>
      <x:c r="F23" s="30" t="n">
        <x:f>IF(AND(ISNUMBER(C23),ISNUMBER(B23)),C23/B23,"")</x:f>
        <x:v>0.3156498673740053</x:v>
      </x:c>
      <x:c r="G23" s="30" t="n">
        <x:f>IF(AND(ISNUMBER(D23),ISNUMBER(B23)),D23/B23,"")</x:f>
        <x:v>0.6604774535809018</x:v>
      </x:c>
      <x:c r="H23" s="30" t="n">
        <x:f>IF(AND(ISNUMBER(E23),ISNUMBER(B23)),E23/B23,"")</x:f>
        <x:v>0.023872679045092837</x:v>
      </x:c>
      <x:c r="I23" s="27" t="str">
        <x:v>2017 transition</x:v>
      </x:c>
      <x:c r="J23" s="27" t="str">
        <x:v>NA</x:v>
      </x:c>
      <x:c r="K23" s="32" t="str">
        <x:f>""</x:f>
      </x:c>
      <x:c r="L23" s="27" t="str">
        <x:v>S017</x:v>
      </x:c>
    </x:row>
    <x:row r="24">
      <x:c r="A24" s="27" t="str">
        <x:v>2018/19</x:v>
      </x:c>
      <x:c r="B24" s="27" t="n">
        <x:v>348</x:v>
      </x:c>
      <x:c r="C24" s="27" t="n">
        <x:v>104</x:v>
      </x:c>
      <x:c r="D24" s="27" t="n">
        <x:v>235</x:v>
      </x:c>
      <x:c r="E24" s="27" t="n">
        <x:v>9</x:v>
      </x:c>
      <x:c r="F24" s="30" t="n">
        <x:f>IF(AND(ISNUMBER(C24),ISNUMBER(B24)),C24/B24,"")</x:f>
        <x:v>0.2988505747126437</x:v>
      </x:c>
      <x:c r="G24" s="30" t="n">
        <x:f>IF(AND(ISNUMBER(D24),ISNUMBER(B24)),D24/B24,"")</x:f>
        <x:v>0.6752873563218391</x:v>
      </x:c>
      <x:c r="H24" s="30" t="n">
        <x:f>IF(AND(ISNUMBER(E24),ISNUMBER(B24)),E24/B24,"")</x:f>
        <x:v>0.02586206896551724</x:v>
      </x:c>
      <x:c r="I24" s="27" t="str">
        <x:v>2017 threshold</x:v>
      </x:c>
      <x:c r="J24" s="27" t="n">
        <x:v>0</x:v>
      </x:c>
      <x:c r="K24" s="32" t="n">
        <x:f>B24/$B$24*100</x:f>
        <x:v>100</x:v>
      </x:c>
      <x:c r="L24" s="27" t="str">
        <x:v>S018</x:v>
      </x:c>
    </x:row>
    <x:row r="25">
      <x:c r="A25" s="27" t="str">
        <x:v>2019/20</x:v>
      </x:c>
      <x:c r="B25" s="27" t="n">
        <x:v>302</x:v>
      </x:c>
      <x:c r="C25" s="27" t="n">
        <x:v>82</x:v>
      </x:c>
      <x:c r="D25" s="27" t="n">
        <x:v>217</x:v>
      </x:c>
      <x:c r="E25" s="27" t="n">
        <x:v>3</x:v>
      </x:c>
      <x:c r="F25" s="30" t="n">
        <x:f>IF(AND(ISNUMBER(C25),ISNUMBER(B25)),C25/B25,"")</x:f>
        <x:v>0.271523178807947</x:v>
      </x:c>
      <x:c r="G25" s="30" t="n">
        <x:f>IF(AND(ISNUMBER(D25),ISNUMBER(B25)),D25/B25,"")</x:f>
        <x:v>0.7185430463576159</x:v>
      </x:c>
      <x:c r="H25" s="30" t="n">
        <x:f>IF(AND(ISNUMBER(E25),ISNUMBER(B25)),E25/B25,"")</x:f>
        <x:v>0.009933774834437087</x:v>
      </x:c>
      <x:c r="I25" s="27" t="str">
        <x:v>2017 threshold</x:v>
      </x:c>
      <x:c r="J25" s="27" t="n">
        <x:v>1</x:v>
      </x:c>
      <x:c r="K25" s="32" t="n">
        <x:f>B25/$B$24*100</x:f>
        <x:v>86.7816091954023</x:v>
      </x:c>
      <x:c r="L25" s="27" t="str">
        <x:v>S019</x:v>
      </x:c>
    </x:row>
    <x:row r="26">
      <x:c r="A26" s="27" t="str">
        <x:v>2020/21</x:v>
      </x:c>
      <x:c r="B26" s="27" t="n">
        <x:v>242</x:v>
      </x:c>
      <x:c r="C26" s="27" t="n">
        <x:v>72</x:v>
      </x:c>
      <x:c r="D26" s="27" t="n">
        <x:v>161</x:v>
      </x:c>
      <x:c r="E26" s="27" t="n">
        <x:v>9</x:v>
      </x:c>
      <x:c r="F26" s="30" t="n">
        <x:f>IF(AND(ISNUMBER(C26),ISNUMBER(B26)),C26/B26,"")</x:f>
        <x:v>0.2975206611570248</x:v>
      </x:c>
      <x:c r="G26" s="30" t="n">
        <x:f>IF(AND(ISNUMBER(D26),ISNUMBER(B26)),D26/B26,"")</x:f>
        <x:v>0.6652892561983471</x:v>
      </x:c>
      <x:c r="H26" s="30" t="n">
        <x:f>IF(AND(ISNUMBER(E26),ISNUMBER(B26)),E26/B26,"")</x:f>
        <x:v>0.0371900826446281</x:v>
      </x:c>
      <x:c r="I26" s="27" t="str">
        <x:v>2017 threshold</x:v>
      </x:c>
      <x:c r="J26" s="27" t="n">
        <x:v>2</x:v>
      </x:c>
      <x:c r="K26" s="32" t="n">
        <x:f>B26/$B$24*100</x:f>
        <x:v>69.54022988505747</x:v>
      </x:c>
      <x:c r="L26" s="27" t="str">
        <x:v>S020</x:v>
      </x:c>
    </x:row>
    <x:row r="27">
      <x:c r="A27" s="27" t="str">
        <x:v>2021/22</x:v>
      </x:c>
      <x:c r="B27" s="27" t="n">
        <x:v>295</x:v>
      </x:c>
      <x:c r="C27" s="27" t="n">
        <x:v>89</x:v>
      </x:c>
      <x:c r="D27" s="27" t="n">
        <x:v>197</x:v>
      </x:c>
      <x:c r="E27" s="27" t="n">
        <x:v>9</x:v>
      </x:c>
      <x:c r="F27" s="30" t="n">
        <x:f>IF(AND(ISNUMBER(C27),ISNUMBER(B27)),C27/B27,"")</x:f>
        <x:v>0.3016949152542373</x:v>
      </x:c>
      <x:c r="G27" s="30" t="n">
        <x:f>IF(AND(ISNUMBER(D27),ISNUMBER(B27)),D27/B27,"")</x:f>
        <x:v>0.6677966101694915</x:v>
      </x:c>
      <x:c r="H27" s="30" t="n">
        <x:f>IF(AND(ISNUMBER(E27),ISNUMBER(B27)),E27/B27,"")</x:f>
        <x:v>0.030508474576271188</x:v>
      </x:c>
      <x:c r="I27" s="27" t="str">
        <x:v>2017 threshold</x:v>
      </x:c>
      <x:c r="J27" s="27" t="n">
        <x:v>3</x:v>
      </x:c>
      <x:c r="K27" s="32" t="n">
        <x:f>B27/$B$24*100</x:f>
        <x:v>84.77011494252874</x:v>
      </x:c>
      <x:c r="L27" s="27" t="str">
        <x:v>S021</x:v>
      </x:c>
    </x:row>
    <x:row r="28">
      <x:c r="A28" s="27" t="str">
        <x:v>2022/23</x:v>
      </x:c>
      <x:c r="B28" s="27" t="n">
        <x:v>273</x:v>
      </x:c>
      <x:c r="C28" s="27" t="n">
        <x:v>105</x:v>
      </x:c>
      <x:c r="D28" s="27" t="n">
        <x:v>165</x:v>
      </x:c>
      <x:c r="E28" s="27" t="n">
        <x:v>6</x:v>
      </x:c>
      <x:c r="F28" s="30" t="n">
        <x:f>IF(AND(ISNUMBER(C28),ISNUMBER(B28)),C28/B28,"")</x:f>
        <x:v>0.38461538461538464</x:v>
      </x:c>
      <x:c r="G28" s="30" t="n">
        <x:f>IF(AND(ISNUMBER(D28),ISNUMBER(B28)),D28/B28,"")</x:f>
        <x:v>0.6043956043956044</x:v>
      </x:c>
      <x:c r="H28" s="30" t="n">
        <x:f>IF(AND(ISNUMBER(E28),ISNUMBER(B28)),E28/B28,"")</x:f>
        <x:v>0.02197802197802198</x:v>
      </x:c>
      <x:c r="I28" s="27" t="str">
        <x:v>2017 threshold</x:v>
      </x:c>
      <x:c r="J28" s="27" t="n">
        <x:v>4</x:v>
      </x:c>
      <x:c r="K28" s="32" t="n">
        <x:f>B28/$B$24*100</x:f>
        <x:v>78.44827586206897</x:v>
      </x:c>
      <x:c r="L28" s="27" t="str">
        <x:v>S022</x:v>
      </x:c>
    </x:row>
    <x:row r="29">
      <x:c r="A29" s="27" t="str">
        <x:v>2023/24</x:v>
      </x:c>
      <x:c r="B29" s="27" t="n">
        <x:v>268</x:v>
      </x:c>
      <x:c r="C29" s="27" t="n">
        <x:v>85</x:v>
      </x:c>
      <x:c r="D29" s="27" t="n">
        <x:v>175</x:v>
      </x:c>
      <x:c r="E29" s="27" t="n">
        <x:v>8</x:v>
      </x:c>
      <x:c r="F29" s="30" t="n">
        <x:f>IF(AND(ISNUMBER(C29),ISNUMBER(B29)),C29/B29,"")</x:f>
        <x:v>0.31716417910447764</x:v>
      </x:c>
      <x:c r="G29" s="30" t="n">
        <x:f>IF(AND(ISNUMBER(D29),ISNUMBER(B29)),D29/B29,"")</x:f>
        <x:v>0.6529850746268657</x:v>
      </x:c>
      <x:c r="H29" s="30" t="n">
        <x:f>IF(AND(ISNUMBER(E29),ISNUMBER(B29)),E29/B29,"")</x:f>
        <x:v>0.029850746268656716</x:v>
      </x:c>
      <x:c r="I29" s="27" t="str">
        <x:v>2017 threshold</x:v>
      </x:c>
      <x:c r="J29" s="27" t="n">
        <x:v>5</x:v>
      </x:c>
      <x:c r="K29" s="32" t="n">
        <x:f>B29/$B$24*100</x:f>
        <x:v>77.01149425287356</x:v>
      </x:c>
      <x:c r="L29" s="27" t="str">
        <x:v>S023</x:v>
      </x:c>
    </x:row>
    <x:row r="30">
      <x:c r="A30" s="27" t="str">
        <x:v>2024/25</x:v>
      </x:c>
      <x:c r="B30" s="27" t="n">
        <x:v>330</x:v>
      </x:c>
      <x:c r="C30" s="27" t="n">
        <x:v>99</x:v>
      </x:c>
      <x:c r="D30" s="27" t="n">
        <x:v>215</x:v>
      </x:c>
      <x:c r="E30" s="27" t="n">
        <x:v>16</x:v>
      </x:c>
      <x:c r="F30" s="30" t="n">
        <x:f>IF(AND(ISNUMBER(C30),ISNUMBER(B30)),C30/B30,"")</x:f>
        <x:v>0.3</x:v>
      </x:c>
      <x:c r="G30" s="30" t="n">
        <x:f>IF(AND(ISNUMBER(D30),ISNUMBER(B30)),D30/B30,"")</x:f>
        <x:v>0.6515151515151515</x:v>
      </x:c>
      <x:c r="H30" s="30" t="n">
        <x:f>IF(AND(ISNUMBER(E30),ISNUMBER(B30)),E30/B30,"")</x:f>
        <x:v>0.048484848484848485</x:v>
      </x:c>
      <x:c r="I30" s="27" t="str">
        <x:v>2017 threshold</x:v>
      </x:c>
      <x:c r="J30" s="27" t="n">
        <x:v>6</x:v>
      </x:c>
      <x:c r="K30" s="32" t="n">
        <x:f>B30/$B$24*100</x:f>
        <x:v>94.82758620689656</x:v>
      </x:c>
      <x:c r="L30" s="27" t="str">
        <x:v>S024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e182dbc7ccdf46c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4" hidden="0" customWidth="1"/>
    <x:col min="5" max="5" width="17" hidden="0" customWidth="1"/>
    <x:col min="6" max="6" width="13" hidden="0" customWidth="1"/>
    <x:col min="7" max="7" width="13" hidden="0" customWidth="1"/>
    <x:col min="8" max="8" width="12" hidden="0" customWidth="1"/>
    <x:col min="9" max="9" width="12" hidden="0" customWidth="1"/>
    <x:col min="10" max="10" width="12" hidden="0" customWidth="1"/>
    <x:col min="11" max="11" width="10" hidden="0" customWidth="1"/>
    <x:col min="12" max="12" width="10" hidden="0" customWidth="1"/>
    <x:col min="13" max="13" width="45" hidden="0" customWidth="1"/>
    <x:col min="14" max="14" width="58" hidden="0" customWidth="1"/>
  </x:cols>
  <x:sheetData>
    <x:row r="1" ht="28" customHeight="1">
      <x:c r="A1" s="4" t="str">
        <x:v>Merger Review Complexity / Phase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2" customHeight="1">
      <x:c r="A2" s="11" t="str">
        <x:v>Phase 1 = non-complex; Phase 2 = complex; Phase 3 = very complex. These are complexity classifications, not statutory merger sizes.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</x:row>
    <x:row r="4" ht="30" customHeight="1">
      <x:c r="A4" s="20" t="str">
        <x:v>Financial year</x:v>
      </x:c>
      <x:c r="B4" s="20" t="str">
        <x:v>Phase 1 count</x:v>
      </x:c>
      <x:c r="C4" s="20" t="str">
        <x:v>Phase 2 count</x:v>
      </x:c>
      <x:c r="D4" s="20" t="str">
        <x:v>Phase 3 combined</x:v>
      </x:c>
      <x:c r="E4" s="20" t="str">
        <x:v>Phase 3 small/intermediate</x:v>
      </x:c>
      <x:c r="F4" s="20" t="str">
        <x:v>Phase 3 large</x:v>
      </x:c>
      <x:c r="G4" s="20" t="str">
        <x:v>Classified total</x:v>
      </x:c>
      <x:c r="H4" s="20" t="str">
        <x:v>Complex count</x:v>
      </x:c>
      <x:c r="I4" s="20" t="str">
        <x:v>Complex share</x:v>
      </x:c>
      <x:c r="J4" s="20" t="str">
        <x:v>Phase 1 share</x:v>
      </x:c>
      <x:c r="K4" s="20" t="str">
        <x:v>Source_ID</x:v>
      </x:c>
      <x:c r="L4" s="20" t="str">
        <x:v>PDF page</x:v>
      </x:c>
      <x:c r="M4" s="20" t="str">
        <x:v>Data-quality note</x:v>
      </x:c>
      <x:c r="N4" s="20" t="str">
        <x:v>Research interpretation</x:v>
      </x:c>
    </x:row>
    <x:row r="5">
      <x:c r="A5" s="27" t="str">
        <x:v>2007/08</x:v>
      </x:c>
      <x:c r="B5" s="27" t="n">
        <x:v>384</x:v>
      </x:c>
      <x:c r="C5" s="27" t="n">
        <x:v>63</x:v>
      </x:c>
      <x:c r="D5" s="27" t="n">
        <x:v>22</x:v>
      </x:c>
      <x:c r="E5" s="27" t="str">
        <x:v>NA</x:v>
      </x:c>
      <x:c r="F5" s="27" t="str">
        <x:v>NA</x:v>
      </x:c>
      <x:c r="G5" s="27" t="n">
        <x:v>469</x:v>
      </x:c>
      <x:c r="H5" s="27" t="n">
        <x:v>85</x:v>
      </x:c>
      <x:c r="I5" s="30" t="n">
        <x:f>IF(AND(ISNUMBER(H5),ISNUMBER(G5)),H5/G5,"")</x:f>
        <x:v>0.1812366737739872</x:v>
      </x:c>
      <x:c r="J5" s="30" t="n">
        <x:f>IF(AND(ISNUMBER(B5),ISNUMBER(G5)),B5/G5,"")</x:f>
        <x:v>0.8187633262260128</x:v>
      </x:c>
      <x:c r="K5" s="27" t="str">
        <x:v>S011</x:v>
      </x:c>
      <x:c r="L5" s="27" t="str">
        <x:v>3</x:v>
      </x:c>
      <x:c r="M5" s="27" t="str">
        <x:v>Historical series reproduced in 2011/12; excludes residual.</x:v>
      </x:c>
      <x:c r="N5" s="27" t="str"/>
    </x:row>
    <x:row r="6">
      <x:c r="A6" s="27" t="str">
        <x:v>2008/09</x:v>
      </x:c>
      <x:c r="B6" s="27" t="n">
        <x:v>342</x:v>
      </x:c>
      <x:c r="C6" s="27" t="n">
        <x:v>66</x:v>
      </x:c>
      <x:c r="D6" s="27" t="n">
        <x:v>33</x:v>
      </x:c>
      <x:c r="E6" s="27" t="str">
        <x:v>NA</x:v>
      </x:c>
      <x:c r="F6" s="27" t="str">
        <x:v>NA</x:v>
      </x:c>
      <x:c r="G6" s="27" t="n">
        <x:v>441</x:v>
      </x:c>
      <x:c r="H6" s="27" t="n">
        <x:v>99</x:v>
      </x:c>
      <x:c r="I6" s="30" t="n">
        <x:f>IF(AND(ISNUMBER(H6),ISNUMBER(G6)),H6/G6,"")</x:f>
        <x:v>0.22448979591836735</x:v>
      </x:c>
      <x:c r="J6" s="30" t="n">
        <x:f>IF(AND(ISNUMBER(B6),ISNUMBER(G6)),B6/G6,"")</x:f>
        <x:v>0.7755102040816326</x:v>
      </x:c>
      <x:c r="K6" s="27" t="str">
        <x:v>S011</x:v>
      </x:c>
      <x:c r="L6" s="27" t="str">
        <x:v>3</x:v>
      </x:c>
      <x:c r="M6" s="27" t="str">
        <x:v>Historical series reproduced in 2011/12; excludes residual.</x:v>
      </x:c>
      <x:c r="N6" s="27" t="str"/>
    </x:row>
    <x:row r="7">
      <x:c r="A7" s="27" t="str">
        <x:v>2009/10</x:v>
      </x:c>
      <x:c r="B7" s="27" t="n">
        <x:v>123</x:v>
      </x:c>
      <x:c r="C7" s="27" t="n">
        <x:v>47</x:v>
      </x:c>
      <x:c r="D7" s="27" t="n">
        <x:v>29</x:v>
      </x:c>
      <x:c r="E7" s="27" t="str">
        <x:v>NA</x:v>
      </x:c>
      <x:c r="F7" s="27" t="str">
        <x:v>NA</x:v>
      </x:c>
      <x:c r="G7" s="27" t="n">
        <x:v>199</x:v>
      </x:c>
      <x:c r="H7" s="27" t="n">
        <x:v>76</x:v>
      </x:c>
      <x:c r="I7" s="30" t="n">
        <x:f>IF(AND(ISNUMBER(H7),ISNUMBER(G7)),H7/G7,"")</x:f>
        <x:v>0.38190954773869346</x:v>
      </x:c>
      <x:c r="J7" s="30" t="n">
        <x:f>IF(AND(ISNUMBER(B7),ISNUMBER(G7)),B7/G7,"")</x:f>
        <x:v>0.6180904522613065</x:v>
      </x:c>
      <x:c r="K7" s="27" t="str">
        <x:v>S011</x:v>
      </x:c>
      <x:c r="L7" s="27" t="str">
        <x:v>3</x:v>
      </x:c>
      <x:c r="M7" s="27" t="str">
        <x:v>Historical series reproduced in 2011/12.</x:v>
      </x:c>
      <x:c r="N7" s="27" t="str">
        <x:v>Phase 1 collapse is consistent with screening out routine cases, but recession is a major confounder.</x:v>
      </x:c>
    </x:row>
    <x:row r="8">
      <x:c r="A8" s="27" t="str">
        <x:v>2010/11</x:v>
      </x:c>
      <x:c r="B8" s="27" t="n">
        <x:v>142</x:v>
      </x:c>
      <x:c r="C8" s="27" t="n">
        <x:v>40</x:v>
      </x:c>
      <x:c r="D8" s="27" t="n">
        <x:v>34</x:v>
      </x:c>
      <x:c r="E8" s="27" t="str">
        <x:v>NA</x:v>
      </x:c>
      <x:c r="F8" s="27" t="str">
        <x:v>NA</x:v>
      </x:c>
      <x:c r="G8" s="27" t="n">
        <x:v>216</x:v>
      </x:c>
      <x:c r="H8" s="27" t="n">
        <x:v>74</x:v>
      </x:c>
      <x:c r="I8" s="30" t="n">
        <x:f>IF(AND(ISNUMBER(H8),ISNUMBER(G8)),H8/G8,"")</x:f>
        <x:v>0.3425925925925926</x:v>
      </x:c>
      <x:c r="J8" s="30" t="n">
        <x:f>IF(AND(ISNUMBER(B8),ISNUMBER(G8)),B8/G8,"")</x:f>
        <x:v>0.6574074074074074</x:v>
      </x:c>
      <x:c r="K8" s="27" t="str">
        <x:v>S011</x:v>
      </x:c>
      <x:c r="L8" s="27" t="str">
        <x:v>3</x:v>
      </x:c>
      <x:c r="M8" s="27" t="str">
        <x:v>Historical series reproduced in 2011/12.</x:v>
      </x:c>
      <x:c r="N8" s="27" t="str"/>
    </x:row>
    <x:row r="9">
      <x:c r="A9" s="27" t="str">
        <x:v>2011/12</x:v>
      </x:c>
      <x:c r="B9" s="27" t="n">
        <x:v>182</x:v>
      </x:c>
      <x:c r="C9" s="27" t="n">
        <x:v>42</x:v>
      </x:c>
      <x:c r="D9" s="27" t="n">
        <x:v>51</x:v>
      </x:c>
      <x:c r="E9" s="27" t="str">
        <x:v>NA</x:v>
      </x:c>
      <x:c r="F9" s="27" t="str">
        <x:v>NA</x:v>
      </x:c>
      <x:c r="G9" s="27" t="n">
        <x:v>275</x:v>
      </x:c>
      <x:c r="H9" s="27" t="n">
        <x:v>93</x:v>
      </x:c>
      <x:c r="I9" s="30" t="n">
        <x:f>IF(AND(ISNUMBER(H9),ISNUMBER(G9)),H9/G9,"")</x:f>
        <x:v>0.3381818181818182</x:v>
      </x:c>
      <x:c r="J9" s="30" t="n">
        <x:f>IF(AND(ISNUMBER(B9),ISNUMBER(G9)),B9/G9,"")</x:f>
        <x:v>0.6618181818181819</x:v>
      </x:c>
      <x:c r="K9" s="27" t="str">
        <x:v>S011</x:v>
      </x:c>
      <x:c r="L9" s="27" t="str">
        <x:v>3</x:v>
      </x:c>
      <x:c r="M9" s="27" t="str">
        <x:v>Rising complexity noted by report.</x:v>
      </x:c>
      <x:c r="N9" s="27" t="str">
        <x:v>Phase 3 rose to 51 from 29 in 2009/10 while Phase 1 only partly recovered.</x:v>
      </x:c>
    </x:row>
    <x:row r="10">
      <x:c r="A10" s="27" t="str">
        <x:v>2012/13</x:v>
      </x:c>
      <x:c r="B10" s="27" t="str">
        <x:v>NR</x:v>
      </x:c>
      <x:c r="C10" s="27" t="str">
        <x:v>NR</x:v>
      </x:c>
      <x:c r="D10" s="27" t="str">
        <x:v>NR</x:v>
      </x:c>
      <x:c r="E10" s="27" t="str">
        <x:v>NR</x:v>
      </x:c>
      <x:c r="F10" s="27" t="str">
        <x:v>NR</x:v>
      </x:c>
      <x:c r="G10" s="27" t="str">
        <x:v>NR</x:v>
      </x:c>
      <x:c r="H10" s="27" t="str">
        <x:v>NR</x:v>
      </x:c>
      <x:c r="I10" s="30" t="str">
        <x:f>IF(AND(ISNUMBER(H10),ISNUMBER(G10)),H10/G10,"")</x:f>
      </x:c>
      <x:c r="J10" s="30" t="str">
        <x:f>IF(AND(ISNUMBER(B10),ISNUMBER(G10)),B10/G10,"")</x:f>
      </x:c>
      <x:c r="K10" s="27" t="str">
        <x:v>S012</x:v>
      </x:c>
      <x:c r="L10" s="27" t="str">
        <x:v>UC</x:v>
      </x:c>
      <x:c r="M10" s="27" t="str">
        <x:v>No reliable aggregate phase counts found.</x:v>
      </x:c>
      <x:c r="N10" s="27" t="str"/>
    </x:row>
    <x:row r="11">
      <x:c r="A11" s="27" t="str">
        <x:v>2013/14</x:v>
      </x:c>
      <x:c r="B11" s="27" t="n">
        <x:v>191</x:v>
      </x:c>
      <x:c r="C11" s="27" t="n">
        <x:v>102</x:v>
      </x:c>
      <x:c r="D11" s="27" t="n">
        <x:v>32</x:v>
      </x:c>
      <x:c r="E11" s="27" t="str">
        <x:v>NA</x:v>
      </x:c>
      <x:c r="F11" s="27" t="str">
        <x:v>NA</x:v>
      </x:c>
      <x:c r="G11" s="27" t="n">
        <x:v>325</x:v>
      </x:c>
      <x:c r="H11" s="27" t="n">
        <x:v>134</x:v>
      </x:c>
      <x:c r="I11" s="30" t="n">
        <x:f>IF(AND(ISNUMBER(H11),ISNUMBER(G11)),H11/G11,"")</x:f>
        <x:v>0.4123076923076923</x:v>
      </x:c>
      <x:c r="J11" s="30" t="n">
        <x:f>IF(AND(ISNUMBER(B11),ISNUMBER(G11)),B11/G11,"")</x:f>
        <x:v>0.5876923076923077</x:v>
      </x:c>
      <x:c r="K11" s="27" t="str">
        <x:v>S013</x:v>
      </x:c>
      <x:c r="L11" s="27" t="str">
        <x:v>2</x:v>
      </x:c>
      <x:c r="M11" s="27" t="str">
        <x:v>Excludes residual.</x:v>
      </x:c>
      <x:c r="N11" s="27" t="str"/>
    </x:row>
    <x:row r="12">
      <x:c r="A12" s="27" t="str">
        <x:v>2014/15</x:v>
      </x:c>
      <x:c r="B12" s="27" t="n">
        <x:v>220</x:v>
      </x:c>
      <x:c r="C12" s="27" t="n">
        <x:v>115</x:v>
      </x:c>
      <x:c r="D12" s="27" t="n">
        <x:v>34</x:v>
      </x:c>
      <x:c r="E12" s="27" t="str">
        <x:v>NA</x:v>
      </x:c>
      <x:c r="F12" s="27" t="str">
        <x:v>NA</x:v>
      </x:c>
      <x:c r="G12" s="27" t="n">
        <x:v>369</x:v>
      </x:c>
      <x:c r="H12" s="27" t="n">
        <x:v>149</x:v>
      </x:c>
      <x:c r="I12" s="30" t="n">
        <x:f>IF(AND(ISNUMBER(H12),ISNUMBER(G12)),H12/G12,"")</x:f>
        <x:v>0.4037940379403794</x:v>
      </x:c>
      <x:c r="J12" s="30" t="n">
        <x:f>IF(AND(ISNUMBER(B12),ISNUMBER(G12)),B12/G12,"")</x:f>
        <x:v>0.5962059620596206</x:v>
      </x:c>
      <x:c r="K12" s="27" t="str">
        <x:v>S014</x:v>
      </x:c>
      <x:c r="L12" s="27" t="str">
        <x:v>6</x:v>
      </x:c>
      <x:c r="M12" s="27" t="str">
        <x:v>Excludes residual.</x:v>
      </x:c>
      <x:c r="N12" s="27" t="str"/>
    </x:row>
    <x:row r="13">
      <x:c r="A13" s="27" t="str">
        <x:v>2015/16</x:v>
      </x:c>
      <x:c r="B13" s="27" t="n">
        <x:v>239</x:v>
      </x:c>
      <x:c r="C13" s="27" t="n">
        <x:v>124</x:v>
      </x:c>
      <x:c r="D13" s="27" t="str">
        <x:v>NA</x:v>
      </x:c>
      <x:c r="E13" s="27" t="n">
        <x:v>32</x:v>
      </x:c>
      <x:c r="F13" s="27" t="n">
        <x:v>13</x:v>
      </x:c>
      <x:c r="G13" s="27" t="n">
        <x:v>408</x:v>
      </x:c>
      <x:c r="H13" s="27" t="n">
        <x:v>169</x:v>
      </x:c>
      <x:c r="I13" s="30" t="n">
        <x:f>IF(AND(ISNUMBER(H13),ISNUMBER(G13)),H13/G13,"")</x:f>
        <x:v>0.41421568627450983</x:v>
      </x:c>
      <x:c r="J13" s="30" t="n">
        <x:f>IF(AND(ISNUMBER(B13),ISNUMBER(G13)),B13/G13,"")</x:f>
        <x:v>0.5857843137254902</x:v>
      </x:c>
      <x:c r="K13" s="27" t="str">
        <x:v>S015</x:v>
      </x:c>
      <x:c r="L13" s="27" t="str">
        <x:v>5</x:v>
      </x:c>
      <x:c r="M13" s="27" t="str">
        <x:v>Phase 3 split by statutory size.</x:v>
      </x:c>
      <x:c r="N13" s="27" t="str"/>
    </x:row>
    <x:row r="14">
      <x:c r="A14" s="27" t="str">
        <x:v>2016/17</x:v>
      </x:c>
      <x:c r="B14" s="27" t="str">
        <x:v>NR</x:v>
      </x:c>
      <x:c r="C14" s="27" t="str">
        <x:v>NR</x:v>
      </x:c>
      <x:c r="D14" s="27" t="str">
        <x:v>NR</x:v>
      </x:c>
      <x:c r="E14" s="27" t="str">
        <x:v>NR</x:v>
      </x:c>
      <x:c r="F14" s="27" t="str">
        <x:v>NR</x:v>
      </x:c>
      <x:c r="G14" s="27" t="str">
        <x:v>NR</x:v>
      </x:c>
      <x:c r="H14" s="27" t="str">
        <x:v>NR</x:v>
      </x:c>
      <x:c r="I14" s="30" t="str">
        <x:f>IF(AND(ISNUMBER(H14),ISNUMBER(G14)),H14/G14,"")</x:f>
      </x:c>
      <x:c r="J14" s="30" t="str">
        <x:f>IF(AND(ISNUMBER(B14),ISNUMBER(G14)),B14/G14,"")</x:f>
      </x:c>
      <x:c r="K14" s="27" t="str">
        <x:v>S016</x:v>
      </x:c>
      <x:c r="L14" s="27" t="str">
        <x:v>2</x:v>
      </x:c>
      <x:c r="M14" s="27" t="str">
        <x:v>Turnaround times available; counts not reliable in extract.</x:v>
      </x:c>
      <x:c r="N14" s="27" t="str"/>
    </x:row>
    <x:row r="15">
      <x:c r="A15" s="27" t="str">
        <x:v>2017/18</x:v>
      </x:c>
      <x:c r="B15" s="27" t="n">
        <x:v>207</x:v>
      </x:c>
      <x:c r="C15" s="27" t="n">
        <x:v>142</x:v>
      </x:c>
      <x:c r="D15" s="27" t="str">
        <x:v>NA</x:v>
      </x:c>
      <x:c r="E15" s="27" t="n">
        <x:v>23</x:v>
      </x:c>
      <x:c r="F15" s="27" t="n">
        <x:v>15</x:v>
      </x:c>
      <x:c r="G15" s="27" t="n">
        <x:v>387</x:v>
      </x:c>
      <x:c r="H15" s="27" t="n">
        <x:v>180</x:v>
      </x:c>
      <x:c r="I15" s="30" t="n">
        <x:f>IF(AND(ISNUMBER(H15),ISNUMBER(G15)),H15/G15,"")</x:f>
        <x:v>0.46511627906976744</x:v>
      </x:c>
      <x:c r="J15" s="30" t="n">
        <x:f>IF(AND(ISNUMBER(B15),ISNUMBER(G15)),B15/G15,"")</x:f>
        <x:v>0.5348837209302325</x:v>
      </x:c>
      <x:c r="K15" s="27" t="str">
        <x:v>S017</x:v>
      </x:c>
      <x:c r="L15" s="27" t="str">
        <x:v>9</x:v>
      </x:c>
      <x:c r="M15" s="27" t="str">
        <x:v>Phase 3 split.</x:v>
      </x:c>
      <x:c r="N15" s="27" t="str"/>
    </x:row>
    <x:row r="16">
      <x:c r="A16" s="27" t="str">
        <x:v>2018/19</x:v>
      </x:c>
      <x:c r="B16" s="27" t="n">
        <x:v>151</x:v>
      </x:c>
      <x:c r="C16" s="27" t="n">
        <x:v>133</x:v>
      </x:c>
      <x:c r="D16" s="27" t="str">
        <x:v>NA</x:v>
      </x:c>
      <x:c r="E16" s="27" t="n">
        <x:v>24</x:v>
      </x:c>
      <x:c r="F16" s="27" t="n">
        <x:v>25</x:v>
      </x:c>
      <x:c r="G16" s="27" t="n">
        <x:v>333</x:v>
      </x:c>
      <x:c r="H16" s="27" t="n">
        <x:v>182</x:v>
      </x:c>
      <x:c r="I16" s="30" t="n">
        <x:f>IF(AND(ISNUMBER(H16),ISNUMBER(G16)),H16/G16,"")</x:f>
        <x:v>0.5465465465465466</x:v>
      </x:c>
      <x:c r="J16" s="30" t="n">
        <x:f>IF(AND(ISNUMBER(B16),ISNUMBER(G16)),B16/G16,"")</x:f>
        <x:v>0.45345345345345345</x:v>
      </x:c>
      <x:c r="K16" s="27" t="str">
        <x:v>S018</x:v>
      </x:c>
      <x:c r="L16" s="27" t="str">
        <x:v>2</x:v>
      </x:c>
      <x:c r="M16" s="27" t="str">
        <x:v>Performance table.</x:v>
      </x:c>
      <x:c r="N16" s="27" t="str"/>
    </x:row>
    <x:row r="17">
      <x:c r="A17" s="27" t="str">
        <x:v>2019/20</x:v>
      </x:c>
      <x:c r="B17" s="27" t="n">
        <x:v>161</x:v>
      </x:c>
      <x:c r="C17" s="27" t="n">
        <x:v>126</x:v>
      </x:c>
      <x:c r="D17" s="27" t="str">
        <x:v>NA</x:v>
      </x:c>
      <x:c r="E17" s="27" t="n">
        <x:v>17</x:v>
      </x:c>
      <x:c r="F17" s="27" t="n">
        <x:v>14</x:v>
      </x:c>
      <x:c r="G17" s="27" t="n">
        <x:v>318</x:v>
      </x:c>
      <x:c r="H17" s="27" t="n">
        <x:v>157</x:v>
      </x:c>
      <x:c r="I17" s="30" t="n">
        <x:f>IF(AND(ISNUMBER(H17),ISNUMBER(G17)),H17/G17,"")</x:f>
        <x:v>0.4937106918238994</x:v>
      </x:c>
      <x:c r="J17" s="30" t="n">
        <x:f>IF(AND(ISNUMBER(B17),ISNUMBER(G17)),B17/G17,"")</x:f>
        <x:v>0.5062893081761006</x:v>
      </x:c>
      <x:c r="K17" s="27" t="str">
        <x:v>S019</x:v>
      </x:c>
      <x:c r="L17" s="27" t="str">
        <x:v>3</x:v>
      </x:c>
      <x:c r="M17" s="27" t="str">
        <x:v>Phase 3 split.</x:v>
      </x:c>
      <x:c r="N17" s="27" t="str"/>
    </x:row>
    <x:row r="18">
      <x:c r="A18" s="27" t="str">
        <x:v>2020/21</x:v>
      </x:c>
      <x:c r="B18" s="27" t="n">
        <x:v>61</x:v>
      </x:c>
      <x:c r="C18" s="27" t="n">
        <x:v>150</x:v>
      </x:c>
      <x:c r="D18" s="27" t="str">
        <x:v>NA</x:v>
      </x:c>
      <x:c r="E18" s="27" t="n">
        <x:v>5</x:v>
      </x:c>
      <x:c r="F18" s="27" t="n">
        <x:v>9</x:v>
      </x:c>
      <x:c r="G18" s="27" t="n">
        <x:v>225</x:v>
      </x:c>
      <x:c r="H18" s="27" t="n">
        <x:v>164</x:v>
      </x:c>
      <x:c r="I18" s="30" t="n">
        <x:f>IF(AND(ISNUMBER(H18),ISNUMBER(G18)),H18/G18,"")</x:f>
        <x:v>0.7288888888888889</x:v>
      </x:c>
      <x:c r="J18" s="30" t="n">
        <x:f>IF(AND(ISNUMBER(B18),ISNUMBER(G18)),B18/G18,"")</x:f>
        <x:v>0.27111111111111114</x:v>
      </x:c>
      <x:c r="K18" s="27" t="str">
        <x:v>S020</x:v>
      </x:c>
      <x:c r="L18" s="27" t="str">
        <x:v>3</x:v>
      </x:c>
      <x:c r="M18" s="27" t="str">
        <x:v>COVID-year composition.</x:v>
      </x:c>
      <x:c r="N18" s="27" t="str"/>
    </x:row>
    <x:row r="19">
      <x:c r="A19" s="27" t="str">
        <x:v>2021/22</x:v>
      </x:c>
      <x:c r="B19" s="27" t="n">
        <x:v>50</x:v>
      </x:c>
      <x:c r="C19" s="27" t="n">
        <x:v>228</x:v>
      </x:c>
      <x:c r="D19" s="27" t="str">
        <x:v>NA</x:v>
      </x:c>
      <x:c r="E19" s="27" t="n">
        <x:v>8</x:v>
      </x:c>
      <x:c r="F19" s="27" t="n">
        <x:v>9</x:v>
      </x:c>
      <x:c r="G19" s="27" t="n">
        <x:v>295</x:v>
      </x:c>
      <x:c r="H19" s="27" t="n">
        <x:v>245</x:v>
      </x:c>
      <x:c r="I19" s="30" t="n">
        <x:f>IF(AND(ISNUMBER(H19),ISNUMBER(G19)),H19/G19,"")</x:f>
        <x:v>0.8305084745762712</x:v>
      </x:c>
      <x:c r="J19" s="30" t="n">
        <x:f>IF(AND(ISNUMBER(B19),ISNUMBER(G19)),B19/G19,"")</x:f>
        <x:v>0.1694915254237288</x:v>
      </x:c>
      <x:c r="K19" s="27" t="str">
        <x:v>S021</x:v>
      </x:c>
      <x:c r="L19" s="27" t="str">
        <x:v>2</x:v>
      </x:c>
      <x:c r="M19" s="27" t="str">
        <x:v>Phase 3 large tied to 90% service standard.</x:v>
      </x:c>
      <x:c r="N19" s="27" t="str"/>
    </x:row>
    <x:row r="20">
      <x:c r="A20" s="27" t="str">
        <x:v>2022/23</x:v>
      </x:c>
      <x:c r="B20" s="27" t="n">
        <x:v>35</x:v>
      </x:c>
      <x:c r="C20" s="27" t="n">
        <x:v>205</x:v>
      </x:c>
      <x:c r="D20" s="27" t="str">
        <x:v>NA</x:v>
      </x:c>
      <x:c r="E20" s="27" t="n">
        <x:v>6</x:v>
      </x:c>
      <x:c r="F20" s="27" t="n">
        <x:v>13</x:v>
      </x:c>
      <x:c r="G20" s="27" t="n">
        <x:v>259</x:v>
      </x:c>
      <x:c r="H20" s="27" t="n">
        <x:v>224</x:v>
      </x:c>
      <x:c r="I20" s="30" t="n">
        <x:f>IF(AND(ISNUMBER(H20),ISNUMBER(G20)),H20/G20,"")</x:f>
        <x:v>0.8648648648648649</x:v>
      </x:c>
      <x:c r="J20" s="30" t="n">
        <x:f>IF(AND(ISNUMBER(B20),ISNUMBER(G20)),B20/G20,"")</x:f>
        <x:v>0.13513513513513514</x:v>
      </x:c>
      <x:c r="K20" s="27" t="str">
        <x:v>S022</x:v>
      </x:c>
      <x:c r="L20" s="27" t="str">
        <x:v>4</x:v>
      </x:c>
      <x:c r="M20" s="27" t="str">
        <x:v>Transactions excluding residual.</x:v>
      </x:c>
      <x:c r="N20" s="27" t="str"/>
    </x:row>
    <x:row r="21">
      <x:c r="A21" s="27" t="str">
        <x:v>2023/24</x:v>
      </x:c>
      <x:c r="B21" s="27" t="n">
        <x:v>4</x:v>
      </x:c>
      <x:c r="C21" s="27" t="n">
        <x:v>208</x:v>
      </x:c>
      <x:c r="D21" s="27" t="str">
        <x:v>NA</x:v>
      </x:c>
      <x:c r="E21" s="27" t="n">
        <x:v>34</x:v>
      </x:c>
      <x:c r="F21" s="27" t="n">
        <x:v>17</x:v>
      </x:c>
      <x:c r="G21" s="27" t="n">
        <x:v>263</x:v>
      </x:c>
      <x:c r="H21" s="27" t="n">
        <x:v>259</x:v>
      </x:c>
      <x:c r="I21" s="30" t="n">
        <x:f>IF(AND(ISNUMBER(H21),ISNUMBER(G21)),H21/G21,"")</x:f>
        <x:v>0.9847908745247148</x:v>
      </x:c>
      <x:c r="J21" s="30" t="n">
        <x:f>IF(AND(ISNUMBER(B21),ISNUMBER(G21)),B21/G21,"")</x:f>
        <x:v>0.015209125475285171</x:v>
      </x:c>
      <x:c r="K21" s="27" t="str">
        <x:v>S023</x:v>
      </x:c>
      <x:c r="L21" s="27" t="str">
        <x:v>4</x:v>
      </x:c>
      <x:c r="M21" s="27" t="str">
        <x:v>Direct 2023/24 phase table.</x:v>
      </x:c>
      <x:c r="N21" s="27" t="str">
        <x:v>Routine Phase 1 cases are exceptionally small relative to complex cases.</x:v>
      </x:c>
    </x:row>
    <x:row r="22">
      <x:c r="A22" s="27" t="str">
        <x:v>2024/25</x:v>
      </x:c>
      <x:c r="B22" s="27" t="n">
        <x:v>12</x:v>
      </x:c>
      <x:c r="C22" s="27" t="n">
        <x:v>253</x:v>
      </x:c>
      <x:c r="D22" s="27" t="str">
        <x:v>NA</x:v>
      </x:c>
      <x:c r="E22" s="27" t="n">
        <x:v>32</x:v>
      </x:c>
      <x:c r="F22" s="27" t="n">
        <x:v>23</x:v>
      </x:c>
      <x:c r="G22" s="27" t="n">
        <x:v>320</x:v>
      </x:c>
      <x:c r="H22" s="27" t="n">
        <x:v>308</x:v>
      </x:c>
      <x:c r="I22" s="30" t="n">
        <x:f>IF(AND(ISNUMBER(H22),ISNUMBER(G22)),H22/G22,"")</x:f>
        <x:v>0.9625</x:v>
      </x:c>
      <x:c r="J22" s="30" t="n">
        <x:f>IF(AND(ISNUMBER(B22),ISNUMBER(G22)),B22/G22,"")</x:f>
        <x:v>0.0375</x:v>
      </x:c>
      <x:c r="K22" s="27" t="str">
        <x:v>S024</x:v>
      </x:c>
      <x:c r="L22" s="27" t="str">
        <x:v>3</x:v>
      </x:c>
      <x:c r="M22" s="27" t="str">
        <x:v>Direct 2024/25 phase table.</x:v>
      </x:c>
      <x:c r="N22" s="27" t="str">
        <x:v>Complex cases dominate while notification volume rebounded.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87cdac9bc9524bd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8" hidden="0" customWidth="1"/>
    <x:col min="4" max="4" width="13" hidden="0" customWidth="1"/>
    <x:col min="5" max="5" width="20" hidden="0" customWidth="1"/>
    <x:col min="6" max="6" width="14" hidden="0" customWidth="1"/>
    <x:col min="7" max="7" width="52" hidden="0" customWidth="1"/>
    <x:col min="8" max="8" width="10" hidden="0" customWidth="1"/>
    <x:col min="9" max="9" width="10" hidden="0" customWidth="1"/>
    <x:col min="10" max="10" width="52" hidden="0" customWidth="1"/>
  </x:cols>
  <x:sheetData>
    <x:row r="1" ht="28" customHeight="1">
      <x:c r="A1" s="4" t="str">
        <x:v>Turnaround Times and Procedural Performance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The exact Commission performance metric is preserved. '90% of Phase 3 large' is not interchangeable with the simple average for all Phase 3 large cases.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 ht="30" customHeight="1">
      <x:c r="A4" s="20" t="str">
        <x:v>Financial year</x:v>
      </x:c>
      <x:c r="B4" s="20" t="str">
        <x:v>Metric / phase</x:v>
      </x:c>
      <x:c r="C4" s="20" t="str">
        <x:v>Service standard (days)</x:v>
      </x:c>
      <x:c r="D4" s="20" t="str">
        <x:v>Transactions</x:v>
      </x:c>
      <x:c r="E4" s="20" t="str">
        <x:v>Average turnaround (days)</x:v>
      </x:c>
      <x:c r="F4" s="20" t="str">
        <x:v>Target met?</x:v>
      </x:c>
      <x:c r="G4" s="20" t="str">
        <x:v>Definition / qualification</x:v>
      </x:c>
      <x:c r="H4" s="20" t="str">
        <x:v>Source_ID</x:v>
      </x:c>
      <x:c r="I4" s="20" t="str">
        <x:v>PDF page</x:v>
      </x:c>
      <x:c r="J4" s="20" t="str">
        <x:v>Research note</x:v>
      </x:c>
    </x:row>
    <x:row r="5">
      <x:c r="A5" s="27" t="str">
        <x:v>2005/06</x:v>
      </x:c>
      <x:c r="B5" s="27" t="str">
        <x:v>All mergers</x:v>
      </x:c>
      <x:c r="C5" s="27" t="str">
        <x:v>NR</x:v>
      </x:c>
      <x:c r="D5" s="27" t="str">
        <x:v>NR</x:v>
      </x:c>
      <x:c r="E5" s="27" t="n">
        <x:v>30</x:v>
      </x:c>
      <x:c r="F5" s="27" t="str">
        <x:v>UC</x:v>
      </x:c>
      <x:c r="G5" s="27" t="str">
        <x:v>Approximate average.</x:v>
      </x:c>
      <x:c r="H5" s="27" t="str">
        <x:v>S005</x:v>
      </x:c>
      <x:c r="I5" s="27" t="str">
        <x:v>1</x:v>
      </x:c>
      <x:c r="J5" s="27" t="str"/>
    </x:row>
    <x:row r="6">
      <x:c r="A6" s="27" t="str">
        <x:v>2006/07</x:v>
      </x:c>
      <x:c r="B6" s="27" t="str">
        <x:v>All mergers</x:v>
      </x:c>
      <x:c r="C6" s="27" t="str">
        <x:v>NR</x:v>
      </x:c>
      <x:c r="D6" s="27" t="str">
        <x:v>NR</x:v>
      </x:c>
      <x:c r="E6" s="27" t="n">
        <x:v>27</x:v>
      </x:c>
      <x:c r="F6" s="27" t="str">
        <x:v>UC</x:v>
      </x:c>
      <x:c r="G6" s="27" t="str">
        <x:v>Improved due to streamlined procedures.</x:v>
      </x:c>
      <x:c r="H6" s="27" t="str">
        <x:v>S006</x:v>
      </x:c>
      <x:c r="I6" s="27" t="str">
        <x:v>1</x:v>
      </x:c>
      <x:c r="J6" s="27" t="str"/>
    </x:row>
    <x:row r="7">
      <x:c r="A7" s="27" t="str">
        <x:v>2007/08</x:v>
      </x:c>
      <x:c r="B7" s="27" t="str">
        <x:v>All mergers</x:v>
      </x:c>
      <x:c r="C7" s="27" t="str">
        <x:v>NR</x:v>
      </x:c>
      <x:c r="D7" s="27" t="str">
        <x:v>NR</x:v>
      </x:c>
      <x:c r="E7" s="27" t="n">
        <x:v>30</x:v>
      </x:c>
      <x:c r="F7" s="27" t="str">
        <x:v>UC</x:v>
      </x:c>
      <x:c r="G7" s="27" t="str">
        <x:v>Average merger-investigation turnaround.</x:v>
      </x:c>
      <x:c r="H7" s="27" t="str">
        <x:v>S007</x:v>
      </x:c>
      <x:c r="I7" s="27" t="str">
        <x:v>1</x:v>
      </x:c>
      <x:c r="J7" s="27" t="str"/>
    </x:row>
    <x:row r="8">
      <x:c r="A8" s="27" t="str">
        <x:v>2013/14</x:v>
      </x:c>
      <x:c r="B8" s="27" t="str">
        <x:v>Phase 1</x:v>
      </x:c>
      <x:c r="C8" s="27" t="n">
        <x:v>20</x:v>
      </x:c>
      <x:c r="D8" s="27" t="n">
        <x:v>191</x:v>
      </x:c>
      <x:c r="E8" s="27" t="n">
        <x:v>21</x:v>
      </x:c>
      <x:c r="F8" s="27" t="str">
        <x:v>No</x:v>
      </x:c>
      <x:c r="G8" s="27" t="str">
        <x:v>Business days.</x:v>
      </x:c>
      <x:c r="H8" s="27" t="str">
        <x:v>S013</x:v>
      </x:c>
      <x:c r="I8" s="27" t="str">
        <x:v>2</x:v>
      </x:c>
      <x:c r="J8" s="27" t="str"/>
    </x:row>
    <x:row r="9">
      <x:c r="A9" s="27" t="str">
        <x:v>2013/14</x:v>
      </x:c>
      <x:c r="B9" s="27" t="str">
        <x:v>Phase 2</x:v>
      </x:c>
      <x:c r="C9" s="27" t="n">
        <x:v>45</x:v>
      </x:c>
      <x:c r="D9" s="27" t="n">
        <x:v>102</x:v>
      </x:c>
      <x:c r="E9" s="27" t="n">
        <x:v>39</x:v>
      </x:c>
      <x:c r="F9" s="27" t="str">
        <x:v>Yes</x:v>
      </x:c>
      <x:c r="G9" s="27" t="str">
        <x:v>Business days.</x:v>
      </x:c>
      <x:c r="H9" s="27" t="str">
        <x:v>S013</x:v>
      </x:c>
      <x:c r="I9" s="27" t="str">
        <x:v>2</x:v>
      </x:c>
      <x:c r="J9" s="27" t="str"/>
    </x:row>
    <x:row r="10">
      <x:c r="A10" s="27" t="str">
        <x:v>2013/14</x:v>
      </x:c>
      <x:c r="B10" s="27" t="str">
        <x:v>Phase 3</x:v>
      </x:c>
      <x:c r="C10" s="27" t="n">
        <x:v>60</x:v>
      </x:c>
      <x:c r="D10" s="27" t="n">
        <x:v>32</x:v>
      </x:c>
      <x:c r="E10" s="27" t="n">
        <x:v>64</x:v>
      </x:c>
      <x:c r="F10" s="27" t="str">
        <x:v>No</x:v>
      </x:c>
      <x:c r="G10" s="27" t="str">
        <x:v>Very complex.</x:v>
      </x:c>
      <x:c r="H10" s="27" t="str">
        <x:v>S013</x:v>
      </x:c>
      <x:c r="I10" s="27" t="str">
        <x:v>2</x:v>
      </x:c>
      <x:c r="J10" s="27" t="str"/>
    </x:row>
    <x:row r="11">
      <x:c r="A11" s="27" t="str">
        <x:v>2014/15</x:v>
      </x:c>
      <x:c r="B11" s="27" t="str">
        <x:v>Phase 1</x:v>
      </x:c>
      <x:c r="C11" s="27" t="n">
        <x:v>20</x:v>
      </x:c>
      <x:c r="D11" s="27" t="n">
        <x:v>220</x:v>
      </x:c>
      <x:c r="E11" s="27" t="n">
        <x:v>23</x:v>
      </x:c>
      <x:c r="F11" s="27" t="str">
        <x:v>No</x:v>
      </x:c>
      <x:c r="G11" s="27" t="str">
        <x:v>Business days.</x:v>
      </x:c>
      <x:c r="H11" s="27" t="str">
        <x:v>S014</x:v>
      </x:c>
      <x:c r="I11" s="27" t="str">
        <x:v>6</x:v>
      </x:c>
      <x:c r="J11" s="27" t="str"/>
    </x:row>
    <x:row r="12">
      <x:c r="A12" s="27" t="str">
        <x:v>2014/15</x:v>
      </x:c>
      <x:c r="B12" s="27" t="str">
        <x:v>Phase 2</x:v>
      </x:c>
      <x:c r="C12" s="27" t="n">
        <x:v>45</x:v>
      </x:c>
      <x:c r="D12" s="27" t="n">
        <x:v>115</x:v>
      </x:c>
      <x:c r="E12" s="27" t="n">
        <x:v>46</x:v>
      </x:c>
      <x:c r="F12" s="27" t="str">
        <x:v>No</x:v>
      </x:c>
      <x:c r="G12" s="27" t="str">
        <x:v>Business days.</x:v>
      </x:c>
      <x:c r="H12" s="27" t="str">
        <x:v>S014</x:v>
      </x:c>
      <x:c r="I12" s="27" t="str">
        <x:v>6</x:v>
      </x:c>
      <x:c r="J12" s="27" t="str"/>
    </x:row>
    <x:row r="13">
      <x:c r="A13" s="27" t="str">
        <x:v>2014/15</x:v>
      </x:c>
      <x:c r="B13" s="27" t="str">
        <x:v>Phase 3</x:v>
      </x:c>
      <x:c r="C13" s="27" t="n">
        <x:v>60</x:v>
      </x:c>
      <x:c r="D13" s="27" t="n">
        <x:v>34</x:v>
      </x:c>
      <x:c r="E13" s="27" t="n">
        <x:v>67</x:v>
      </x:c>
      <x:c r="F13" s="27" t="str">
        <x:v>No</x:v>
      </x:c>
      <x:c r="G13" s="27" t="str">
        <x:v>Business days.</x:v>
      </x:c>
      <x:c r="H13" s="27" t="str">
        <x:v>S014</x:v>
      </x:c>
      <x:c r="I13" s="27" t="str">
        <x:v>6</x:v>
      </x:c>
      <x:c r="J13" s="27" t="str"/>
    </x:row>
    <x:row r="14">
      <x:c r="A14" s="27" t="str">
        <x:v>2015/16</x:v>
      </x:c>
      <x:c r="B14" s="27" t="str">
        <x:v>Phase 1</x:v>
      </x:c>
      <x:c r="C14" s="27" t="n">
        <x:v>20</x:v>
      </x:c>
      <x:c r="D14" s="27" t="n">
        <x:v>239</x:v>
      </x:c>
      <x:c r="E14" s="27" t="n">
        <x:v>18</x:v>
      </x:c>
      <x:c r="F14" s="27" t="str">
        <x:v>Yes</x:v>
      </x:c>
      <x:c r="G14" s="27" t="str">
        <x:v>Business days.</x:v>
      </x:c>
      <x:c r="H14" s="27" t="str">
        <x:v>S015</x:v>
      </x:c>
      <x:c r="I14" s="27" t="str">
        <x:v>5</x:v>
      </x:c>
      <x:c r="J14" s="27" t="str"/>
    </x:row>
    <x:row r="15">
      <x:c r="A15" s="27" t="str">
        <x:v>2015/16</x:v>
      </x:c>
      <x:c r="B15" s="27" t="str">
        <x:v>Phase 2</x:v>
      </x:c>
      <x:c r="C15" s="27" t="n">
        <x:v>45</x:v>
      </x:c>
      <x:c r="D15" s="27" t="n">
        <x:v>124</x:v>
      </x:c>
      <x:c r="E15" s="27" t="n">
        <x:v>44</x:v>
      </x:c>
      <x:c r="F15" s="27" t="str">
        <x:v>Yes</x:v>
      </x:c>
      <x:c r="G15" s="27" t="str">
        <x:v>Business days.</x:v>
      </x:c>
      <x:c r="H15" s="27" t="str">
        <x:v>S015</x:v>
      </x:c>
      <x:c r="I15" s="27" t="str">
        <x:v>5</x:v>
      </x:c>
      <x:c r="J15" s="27" t="str"/>
    </x:row>
    <x:row r="16">
      <x:c r="A16" s="27" t="str">
        <x:v>2015/16</x:v>
      </x:c>
      <x:c r="B16" s="27" t="str">
        <x:v>Phase 3 small/intermediate</x:v>
      </x:c>
      <x:c r="C16" s="27" t="n">
        <x:v>60</x:v>
      </x:c>
      <x:c r="D16" s="27" t="n">
        <x:v>32</x:v>
      </x:c>
      <x:c r="E16" s="27" t="n">
        <x:v>56</x:v>
      </x:c>
      <x:c r="F16" s="27" t="str">
        <x:v>Yes</x:v>
      </x:c>
      <x:c r="G16" s="27" t="str">
        <x:v>Business days.</x:v>
      </x:c>
      <x:c r="H16" s="27" t="str">
        <x:v>S015</x:v>
      </x:c>
      <x:c r="I16" s="27" t="str">
        <x:v>5</x:v>
      </x:c>
      <x:c r="J16" s="27" t="str"/>
    </x:row>
    <x:row r="17">
      <x:c r="A17" s="27" t="str">
        <x:v>2015/16</x:v>
      </x:c>
      <x:c r="B17" s="27" t="str">
        <x:v>Phase 3 large</x:v>
      </x:c>
      <x:c r="C17" s="27" t="n">
        <x:v>120</x:v>
      </x:c>
      <x:c r="D17" s="27" t="n">
        <x:v>13</x:v>
      </x:c>
      <x:c r="E17" s="27" t="n">
        <x:v>128</x:v>
      </x:c>
      <x:c r="F17" s="27" t="str">
        <x:v>No</x:v>
      </x:c>
      <x:c r="G17" s="27" t="str">
        <x:v>Three complex mobile-telecom mergers cited.</x:v>
      </x:c>
      <x:c r="H17" s="27" t="str">
        <x:v>S015</x:v>
      </x:c>
      <x:c r="I17" s="27" t="str">
        <x:v>5</x:v>
      </x:c>
      <x:c r="J17" s="27" t="str">
        <x:v>Complexity can raise workload even with stable volume.</x:v>
      </x:c>
    </x:row>
    <x:row r="18">
      <x:c r="A18" s="27" t="str">
        <x:v>2016/17</x:v>
      </x:c>
      <x:c r="B18" s="27" t="str">
        <x:v>Phase 1</x:v>
      </x:c>
      <x:c r="C18" s="27" t="n">
        <x:v>20</x:v>
      </x:c>
      <x:c r="D18" s="27" t="str">
        <x:v>NR</x:v>
      </x:c>
      <x:c r="E18" s="27" t="n">
        <x:v>17</x:v>
      </x:c>
      <x:c r="F18" s="27" t="str">
        <x:v>Yes</x:v>
      </x:c>
      <x:c r="G18" s="27" t="str">
        <x:v>All targets met.</x:v>
      </x:c>
      <x:c r="H18" s="27" t="str">
        <x:v>S016</x:v>
      </x:c>
      <x:c r="I18" s="27" t="str">
        <x:v>2</x:v>
      </x:c>
      <x:c r="J18" s="27" t="str"/>
    </x:row>
    <x:row r="19">
      <x:c r="A19" s="27" t="str">
        <x:v>2016/17</x:v>
      </x:c>
      <x:c r="B19" s="27" t="str">
        <x:v>Phase 2</x:v>
      </x:c>
      <x:c r="C19" s="27" t="n">
        <x:v>45</x:v>
      </x:c>
      <x:c r="D19" s="27" t="str">
        <x:v>NR</x:v>
      </x:c>
      <x:c r="E19" s="27" t="n">
        <x:v>45</x:v>
      </x:c>
      <x:c r="F19" s="27" t="str">
        <x:v>Yes</x:v>
      </x:c>
      <x:c r="G19" s="27" t="str">
        <x:v>All targets met.</x:v>
      </x:c>
      <x:c r="H19" s="27" t="str">
        <x:v>S016</x:v>
      </x:c>
      <x:c r="I19" s="27" t="str">
        <x:v>2</x:v>
      </x:c>
      <x:c r="J19" s="27" t="str"/>
    </x:row>
    <x:row r="20">
      <x:c r="A20" s="27" t="str">
        <x:v>2016/17</x:v>
      </x:c>
      <x:c r="B20" s="27" t="str">
        <x:v>Phase 3 small/intermediate</x:v>
      </x:c>
      <x:c r="C20" s="27" t="n">
        <x:v>60</x:v>
      </x:c>
      <x:c r="D20" s="27" t="str">
        <x:v>NR</x:v>
      </x:c>
      <x:c r="E20" s="27" t="n">
        <x:v>56</x:v>
      </x:c>
      <x:c r="F20" s="27" t="str">
        <x:v>Yes</x:v>
      </x:c>
      <x:c r="G20" s="27" t="str">
        <x:v>All targets met.</x:v>
      </x:c>
      <x:c r="H20" s="27" t="str">
        <x:v>S016</x:v>
      </x:c>
      <x:c r="I20" s="27" t="str">
        <x:v>2</x:v>
      </x:c>
      <x:c r="J20" s="27" t="str"/>
    </x:row>
    <x:row r="21">
      <x:c r="A21" s="27" t="str">
        <x:v>2016/17</x:v>
      </x:c>
      <x:c r="B21" s="27" t="str">
        <x:v>Phase 3 large</x:v>
      </x:c>
      <x:c r="C21" s="27" t="n">
        <x:v>120</x:v>
      </x:c>
      <x:c r="D21" s="27" t="str">
        <x:v>NR</x:v>
      </x:c>
      <x:c r="E21" s="27" t="n">
        <x:v>116</x:v>
      </x:c>
      <x:c r="F21" s="27" t="str">
        <x:v>Yes</x:v>
      </x:c>
      <x:c r="G21" s="27" t="str">
        <x:v>All targets met.</x:v>
      </x:c>
      <x:c r="H21" s="27" t="str">
        <x:v>S016</x:v>
      </x:c>
      <x:c r="I21" s="27" t="str">
        <x:v>2</x:v>
      </x:c>
      <x:c r="J21" s="27" t="str"/>
    </x:row>
    <x:row r="22">
      <x:c r="A22" s="27" t="str">
        <x:v>2017/18</x:v>
      </x:c>
      <x:c r="B22" s="27" t="str">
        <x:v>Phase 1</x:v>
      </x:c>
      <x:c r="C22" s="27" t="n">
        <x:v>20</x:v>
      </x:c>
      <x:c r="D22" s="27" t="n">
        <x:v>207</x:v>
      </x:c>
      <x:c r="E22" s="27" t="n">
        <x:v>20</x:v>
      </x:c>
      <x:c r="F22" s="27" t="str">
        <x:v>Yes</x:v>
      </x:c>
      <x:c r="G22" s="27" t="str">
        <x:v>Business days.</x:v>
      </x:c>
      <x:c r="H22" s="27" t="str">
        <x:v>S017</x:v>
      </x:c>
      <x:c r="I22" s="27" t="str">
        <x:v>9</x:v>
      </x:c>
      <x:c r="J22" s="27" t="str"/>
    </x:row>
    <x:row r="23">
      <x:c r="A23" s="27" t="str">
        <x:v>2017/18</x:v>
      </x:c>
      <x:c r="B23" s="27" t="str">
        <x:v>Phase 2</x:v>
      </x:c>
      <x:c r="C23" s="27" t="n">
        <x:v>45</x:v>
      </x:c>
      <x:c r="D23" s="27" t="n">
        <x:v>142</x:v>
      </x:c>
      <x:c r="E23" s="27" t="n">
        <x:v>45</x:v>
      </x:c>
      <x:c r="F23" s="27" t="str">
        <x:v>Yes</x:v>
      </x:c>
      <x:c r="G23" s="27" t="str">
        <x:v>Business days.</x:v>
      </x:c>
      <x:c r="H23" s="27" t="str">
        <x:v>S017</x:v>
      </x:c>
      <x:c r="I23" s="27" t="str">
        <x:v>9</x:v>
      </x:c>
      <x:c r="J23" s="27" t="str"/>
    </x:row>
    <x:row r="24">
      <x:c r="A24" s="27" t="str">
        <x:v>2017/18</x:v>
      </x:c>
      <x:c r="B24" s="27" t="str">
        <x:v>Phase 3 small/intermediate</x:v>
      </x:c>
      <x:c r="C24" s="27" t="n">
        <x:v>60</x:v>
      </x:c>
      <x:c r="D24" s="27" t="n">
        <x:v>23</x:v>
      </x:c>
      <x:c r="E24" s="27" t="n">
        <x:v>58</x:v>
      </x:c>
      <x:c r="F24" s="27" t="str">
        <x:v>Yes</x:v>
      </x:c>
      <x:c r="G24" s="27" t="str">
        <x:v>Business days.</x:v>
      </x:c>
      <x:c r="H24" s="27" t="str">
        <x:v>S017</x:v>
      </x:c>
      <x:c r="I24" s="27" t="str">
        <x:v>9</x:v>
      </x:c>
      <x:c r="J24" s="27" t="str"/>
    </x:row>
    <x:row r="25">
      <x:c r="A25" s="27" t="str">
        <x:v>2017/18</x:v>
      </x:c>
      <x:c r="B25" s="27" t="str">
        <x:v>Phase 3 large</x:v>
      </x:c>
      <x:c r="C25" s="27" t="n">
        <x:v>120</x:v>
      </x:c>
      <x:c r="D25" s="27" t="n">
        <x:v>15</x:v>
      </x:c>
      <x:c r="E25" s="27" t="n">
        <x:v>153</x:v>
      </x:c>
      <x:c r="F25" s="27" t="str">
        <x:v>No</x:v>
      </x:c>
      <x:c r="G25" s="27" t="str">
        <x:v>Business days.</x:v>
      </x:c>
      <x:c r="H25" s="27" t="str">
        <x:v>S017</x:v>
      </x:c>
      <x:c r="I25" s="27" t="str">
        <x:v>9</x:v>
      </x:c>
      <x:c r="J25" s="27" t="str"/>
    </x:row>
    <x:row r="26">
      <x:c r="A26" s="27" t="str">
        <x:v>2018/19</x:v>
      </x:c>
      <x:c r="B26" s="27" t="str">
        <x:v>Phase 1</x:v>
      </x:c>
      <x:c r="C26" s="27" t="n">
        <x:v>20</x:v>
      </x:c>
      <x:c r="D26" s="27" t="n">
        <x:v>151</x:v>
      </x:c>
      <x:c r="E26" s="27" t="n">
        <x:v>17</x:v>
      </x:c>
      <x:c r="F26" s="27" t="str">
        <x:v>Yes</x:v>
      </x:c>
      <x:c r="G26" s="27" t="str">
        <x:v>Business days.</x:v>
      </x:c>
      <x:c r="H26" s="27" t="str">
        <x:v>S018</x:v>
      </x:c>
      <x:c r="I26" s="27" t="str">
        <x:v>2</x:v>
      </x:c>
      <x:c r="J26" s="27" t="str"/>
    </x:row>
    <x:row r="27">
      <x:c r="A27" s="27" t="str">
        <x:v>2018/19</x:v>
      </x:c>
      <x:c r="B27" s="27" t="str">
        <x:v>Phase 2</x:v>
      </x:c>
      <x:c r="C27" s="27" t="n">
        <x:v>45</x:v>
      </x:c>
      <x:c r="D27" s="27" t="n">
        <x:v>133</x:v>
      </x:c>
      <x:c r="E27" s="27" t="n">
        <x:v>41</x:v>
      </x:c>
      <x:c r="F27" s="27" t="str">
        <x:v>Yes</x:v>
      </x:c>
      <x:c r="G27" s="27" t="str">
        <x:v>Business days.</x:v>
      </x:c>
      <x:c r="H27" s="27" t="str">
        <x:v>S018</x:v>
      </x:c>
      <x:c r="I27" s="27" t="str">
        <x:v>2</x:v>
      </x:c>
      <x:c r="J27" s="27" t="str"/>
    </x:row>
    <x:row r="28">
      <x:c r="A28" s="27" t="str">
        <x:v>2018/19</x:v>
      </x:c>
      <x:c r="B28" s="27" t="str">
        <x:v>Phase 3 small/intermediate</x:v>
      </x:c>
      <x:c r="C28" s="27" t="n">
        <x:v>60</x:v>
      </x:c>
      <x:c r="D28" s="27" t="n">
        <x:v>24</x:v>
      </x:c>
      <x:c r="E28" s="27" t="n">
        <x:v>57</x:v>
      </x:c>
      <x:c r="F28" s="27" t="str">
        <x:v>Yes</x:v>
      </x:c>
      <x:c r="G28" s="27" t="str">
        <x:v>Business days.</x:v>
      </x:c>
      <x:c r="H28" s="27" t="str">
        <x:v>S018</x:v>
      </x:c>
      <x:c r="I28" s="27" t="str">
        <x:v>2</x:v>
      </x:c>
      <x:c r="J28" s="27" t="str"/>
    </x:row>
    <x:row r="29">
      <x:c r="A29" s="27" t="str">
        <x:v>2018/19</x:v>
      </x:c>
      <x:c r="B29" s="27" t="str">
        <x:v>Phase 3 large</x:v>
      </x:c>
      <x:c r="C29" s="27" t="n">
        <x:v>120</x:v>
      </x:c>
      <x:c r="D29" s="27" t="n">
        <x:v>25</x:v>
      </x:c>
      <x:c r="E29" s="27" t="n">
        <x:v>122</x:v>
      </x:c>
      <x:c r="F29" s="27" t="str">
        <x:v>Reported as met</x:v>
      </x:c>
      <x:c r="G29" s="27" t="str">
        <x:v>Report states all five targets were met.</x:v>
      </x:c>
      <x:c r="H29" s="27" t="str">
        <x:v>S018</x:v>
      </x:c>
      <x:c r="I29" s="27" t="str">
        <x:v>2</x:v>
      </x:c>
      <x:c r="J29" s="27" t="str">
        <x:v>Preserve the report metric rather than mechanically reclassifying.</x:v>
      </x:c>
    </x:row>
    <x:row r="30">
      <x:c r="A30" s="27" t="str">
        <x:v>2019/20</x:v>
      </x:c>
      <x:c r="B30" s="27" t="str">
        <x:v>Phase 1</x:v>
      </x:c>
      <x:c r="C30" s="27" t="n">
        <x:v>20</x:v>
      </x:c>
      <x:c r="D30" s="27" t="n">
        <x:v>161</x:v>
      </x:c>
      <x:c r="E30" s="27" t="n">
        <x:v>18</x:v>
      </x:c>
      <x:c r="F30" s="27" t="str">
        <x:v>Yes</x:v>
      </x:c>
      <x:c r="G30" s="27" t="str">
        <x:v>Business days.</x:v>
      </x:c>
      <x:c r="H30" s="27" t="str">
        <x:v>S019</x:v>
      </x:c>
      <x:c r="I30" s="27" t="str">
        <x:v>3</x:v>
      </x:c>
      <x:c r="J30" s="27" t="str"/>
    </x:row>
    <x:row r="31">
      <x:c r="A31" s="27" t="str">
        <x:v>2019/20</x:v>
      </x:c>
      <x:c r="B31" s="27" t="str">
        <x:v>Phase 2</x:v>
      </x:c>
      <x:c r="C31" s="27" t="n">
        <x:v>45</x:v>
      </x:c>
      <x:c r="D31" s="27" t="n">
        <x:v>126</x:v>
      </x:c>
      <x:c r="E31" s="27" t="n">
        <x:v>40</x:v>
      </x:c>
      <x:c r="F31" s="27" t="str">
        <x:v>Yes</x:v>
      </x:c>
      <x:c r="G31" s="27" t="str">
        <x:v>Business days.</x:v>
      </x:c>
      <x:c r="H31" s="27" t="str">
        <x:v>S019</x:v>
      </x:c>
      <x:c r="I31" s="27" t="str">
        <x:v>3</x:v>
      </x:c>
      <x:c r="J31" s="27" t="str"/>
    </x:row>
    <x:row r="32">
      <x:c r="A32" s="27" t="str">
        <x:v>2019/20</x:v>
      </x:c>
      <x:c r="B32" s="27" t="str">
        <x:v>Phase 3 small/intermediate</x:v>
      </x:c>
      <x:c r="C32" s="27" t="n">
        <x:v>60</x:v>
      </x:c>
      <x:c r="D32" s="27" t="n">
        <x:v>17</x:v>
      </x:c>
      <x:c r="E32" s="27" t="n">
        <x:v>57</x:v>
      </x:c>
      <x:c r="F32" s="27" t="str">
        <x:v>Yes</x:v>
      </x:c>
      <x:c r="G32" s="27" t="str">
        <x:v>Business days.</x:v>
      </x:c>
      <x:c r="H32" s="27" t="str">
        <x:v>S019</x:v>
      </x:c>
      <x:c r="I32" s="27" t="str">
        <x:v>3</x:v>
      </x:c>
      <x:c r="J32" s="27" t="str"/>
    </x:row>
    <x:row r="33">
      <x:c r="A33" s="27" t="str">
        <x:v>2019/20</x:v>
      </x:c>
      <x:c r="B33" s="27" t="str">
        <x:v>Phase 3 large</x:v>
      </x:c>
      <x:c r="C33" s="27" t="n">
        <x:v>120</x:v>
      </x:c>
      <x:c r="D33" s="27" t="n">
        <x:v>14</x:v>
      </x:c>
      <x:c r="E33" s="27" t="n">
        <x:v>113</x:v>
      </x:c>
      <x:c r="F33" s="27" t="str">
        <x:v>Yes</x:v>
      </x:c>
      <x:c r="G33" s="27" t="str">
        <x:v>Business days.</x:v>
      </x:c>
      <x:c r="H33" s="27" t="str">
        <x:v>S019</x:v>
      </x:c>
      <x:c r="I33" s="27" t="str">
        <x:v>3</x:v>
      </x:c>
      <x:c r="J33" s="27" t="str"/>
    </x:row>
    <x:row r="34">
      <x:c r="A34" s="27" t="str">
        <x:v>2020/21</x:v>
      </x:c>
      <x:c r="B34" s="27" t="str">
        <x:v>Phase 1</x:v>
      </x:c>
      <x:c r="C34" s="27" t="n">
        <x:v>20</x:v>
      </x:c>
      <x:c r="D34" s="27" t="n">
        <x:v>61</x:v>
      </x:c>
      <x:c r="E34" s="27" t="n">
        <x:v>18</x:v>
      </x:c>
      <x:c r="F34" s="27" t="str">
        <x:v>Yes</x:v>
      </x:c>
      <x:c r="G34" s="27" t="str">
        <x:v>Business days.</x:v>
      </x:c>
      <x:c r="H34" s="27" t="str">
        <x:v>S020</x:v>
      </x:c>
      <x:c r="I34" s="27" t="str">
        <x:v>3</x:v>
      </x:c>
      <x:c r="J34" s="27" t="str"/>
    </x:row>
    <x:row r="35">
      <x:c r="A35" s="27" t="str">
        <x:v>2020/21</x:v>
      </x:c>
      <x:c r="B35" s="27" t="str">
        <x:v>Phase 2</x:v>
      </x:c>
      <x:c r="C35" s="27" t="n">
        <x:v>45</x:v>
      </x:c>
      <x:c r="D35" s="27" t="n">
        <x:v>150</x:v>
      </x:c>
      <x:c r="E35" s="27" t="n">
        <x:v>37</x:v>
      </x:c>
      <x:c r="F35" s="27" t="str">
        <x:v>Yes</x:v>
      </x:c>
      <x:c r="G35" s="27" t="str">
        <x:v>Business days.</x:v>
      </x:c>
      <x:c r="H35" s="27" t="str">
        <x:v>S020</x:v>
      </x:c>
      <x:c r="I35" s="27" t="str">
        <x:v>3</x:v>
      </x:c>
      <x:c r="J35" s="27" t="str"/>
    </x:row>
    <x:row r="36">
      <x:c r="A36" s="27" t="str">
        <x:v>2020/21</x:v>
      </x:c>
      <x:c r="B36" s="27" t="str">
        <x:v>Phase 3 small/intermediate</x:v>
      </x:c>
      <x:c r="C36" s="27" t="n">
        <x:v>60</x:v>
      </x:c>
      <x:c r="D36" s="27" t="n">
        <x:v>5</x:v>
      </x:c>
      <x:c r="E36" s="27" t="n">
        <x:v>55</x:v>
      </x:c>
      <x:c r="F36" s="27" t="str">
        <x:v>Yes</x:v>
      </x:c>
      <x:c r="G36" s="27" t="str">
        <x:v>Business days.</x:v>
      </x:c>
      <x:c r="H36" s="27" t="str">
        <x:v>S020</x:v>
      </x:c>
      <x:c r="I36" s="27" t="str">
        <x:v>3</x:v>
      </x:c>
      <x:c r="J36" s="27" t="str"/>
    </x:row>
    <x:row r="37">
      <x:c r="A37" s="27" t="str">
        <x:v>2020/21</x:v>
      </x:c>
      <x:c r="B37" s="27" t="str">
        <x:v>90% of Phase 3 large</x:v>
      </x:c>
      <x:c r="C37" s="27" t="n">
        <x:v>120</x:v>
      </x:c>
      <x:c r="D37" s="27" t="n">
        <x:v>9</x:v>
      </x:c>
      <x:c r="E37" s="27" t="n">
        <x:v>93</x:v>
      </x:c>
      <x:c r="F37" s="27" t="str">
        <x:v>Yes</x:v>
      </x:c>
      <x:c r="G37" s="27" t="str">
        <x:v>90% metric.</x:v>
      </x:c>
      <x:c r="H37" s="27" t="str">
        <x:v>S020</x:v>
      </x:c>
      <x:c r="I37" s="27" t="str">
        <x:v>3</x:v>
      </x:c>
      <x:c r="J37" s="27" t="str"/>
    </x:row>
    <x:row r="38">
      <x:c r="A38" s="27" t="str">
        <x:v>2021/22</x:v>
      </x:c>
      <x:c r="B38" s="27" t="str">
        <x:v>Phase 1</x:v>
      </x:c>
      <x:c r="C38" s="27" t="n">
        <x:v>20</x:v>
      </x:c>
      <x:c r="D38" s="27" t="n">
        <x:v>50</x:v>
      </x:c>
      <x:c r="E38" s="27" t="n">
        <x:v>17</x:v>
      </x:c>
      <x:c r="F38" s="27" t="str">
        <x:v>Yes</x:v>
      </x:c>
      <x:c r="G38" s="27" t="str">
        <x:v>Business days.</x:v>
      </x:c>
      <x:c r="H38" s="27" t="str">
        <x:v>S021</x:v>
      </x:c>
      <x:c r="I38" s="27" t="str">
        <x:v>2</x:v>
      </x:c>
      <x:c r="J38" s="27" t="str"/>
    </x:row>
    <x:row r="39">
      <x:c r="A39" s="27" t="str">
        <x:v>2021/22</x:v>
      </x:c>
      <x:c r="B39" s="27" t="str">
        <x:v>Phase 2</x:v>
      </x:c>
      <x:c r="C39" s="27" t="n">
        <x:v>45</x:v>
      </x:c>
      <x:c r="D39" s="27" t="n">
        <x:v>228</x:v>
      </x:c>
      <x:c r="E39" s="27" t="n">
        <x:v>40</x:v>
      </x:c>
      <x:c r="F39" s="27" t="str">
        <x:v>Yes</x:v>
      </x:c>
      <x:c r="G39" s="27" t="str">
        <x:v>Business days.</x:v>
      </x:c>
      <x:c r="H39" s="27" t="str">
        <x:v>S021</x:v>
      </x:c>
      <x:c r="I39" s="27" t="str">
        <x:v>2</x:v>
      </x:c>
      <x:c r="J39" s="27" t="str"/>
    </x:row>
    <x:row r="40">
      <x:c r="A40" s="27" t="str">
        <x:v>2021/22</x:v>
      </x:c>
      <x:c r="B40" s="27" t="str">
        <x:v>Phase 3 small/intermediate</x:v>
      </x:c>
      <x:c r="C40" s="27" t="n">
        <x:v>60</x:v>
      </x:c>
      <x:c r="D40" s="27" t="n">
        <x:v>8</x:v>
      </x:c>
      <x:c r="E40" s="27" t="n">
        <x:v>57</x:v>
      </x:c>
      <x:c r="F40" s="27" t="str">
        <x:v>Yes</x:v>
      </x:c>
      <x:c r="G40" s="27" t="str">
        <x:v>Business days.</x:v>
      </x:c>
      <x:c r="H40" s="27" t="str">
        <x:v>S021</x:v>
      </x:c>
      <x:c r="I40" s="27" t="str">
        <x:v>2</x:v>
      </x:c>
      <x:c r="J40" s="27" t="str"/>
    </x:row>
    <x:row r="41">
      <x:c r="A41" s="27" t="str">
        <x:v>2021/22</x:v>
      </x:c>
      <x:c r="B41" s="27" t="str">
        <x:v>90% of Phase 3 large</x:v>
      </x:c>
      <x:c r="C41" s="27" t="n">
        <x:v>120</x:v>
      </x:c>
      <x:c r="D41" s="27" t="n">
        <x:v>9</x:v>
      </x:c>
      <x:c r="E41" s="27" t="n">
        <x:v>137</x:v>
      </x:c>
      <x:c r="F41" s="27" t="str">
        <x:v>No</x:v>
      </x:c>
      <x:c r="G41" s="27" t="str">
        <x:v>One target missed.</x:v>
      </x:c>
      <x:c r="H41" s="27" t="str">
        <x:v>S021</x:v>
      </x:c>
      <x:c r="I41" s="27" t="str">
        <x:v>2</x:v>
      </x:c>
      <x:c r="J41" s="27" t="str"/>
    </x:row>
    <x:row r="42">
      <x:c r="A42" s="27" t="str">
        <x:v>2022/23</x:v>
      </x:c>
      <x:c r="B42" s="27" t="str">
        <x:v>Phase 1</x:v>
      </x:c>
      <x:c r="C42" s="27" t="n">
        <x:v>20</x:v>
      </x:c>
      <x:c r="D42" s="27" t="n">
        <x:v>35</x:v>
      </x:c>
      <x:c r="E42" s="27" t="n">
        <x:v>16</x:v>
      </x:c>
      <x:c r="F42" s="27" t="str">
        <x:v>Yes</x:v>
      </x:c>
      <x:c r="G42" s="27" t="str">
        <x:v>Excludes residual.</x:v>
      </x:c>
      <x:c r="H42" s="27" t="str">
        <x:v>S022</x:v>
      </x:c>
      <x:c r="I42" s="27" t="str">
        <x:v>4</x:v>
      </x:c>
      <x:c r="J42" s="27" t="str"/>
    </x:row>
    <x:row r="43">
      <x:c r="A43" s="27" t="str">
        <x:v>2022/23</x:v>
      </x:c>
      <x:c r="B43" s="27" t="str">
        <x:v>Phase 2</x:v>
      </x:c>
      <x:c r="C43" s="27" t="n">
        <x:v>45</x:v>
      </x:c>
      <x:c r="D43" s="27" t="n">
        <x:v>205</x:v>
      </x:c>
      <x:c r="E43" s="27" t="n">
        <x:v>41</x:v>
      </x:c>
      <x:c r="F43" s="27" t="str">
        <x:v>Yes</x:v>
      </x:c>
      <x:c r="G43" s="27" t="str">
        <x:v>Excludes residual.</x:v>
      </x:c>
      <x:c r="H43" s="27" t="str">
        <x:v>S022</x:v>
      </x:c>
      <x:c r="I43" s="27" t="str">
        <x:v>4</x:v>
      </x:c>
      <x:c r="J43" s="27" t="str"/>
    </x:row>
    <x:row r="44">
      <x:c r="A44" s="27" t="str">
        <x:v>2022/23</x:v>
      </x:c>
      <x:c r="B44" s="27" t="str">
        <x:v>Phase 3 small/intermediate</x:v>
      </x:c>
      <x:c r="C44" s="27" t="n">
        <x:v>60</x:v>
      </x:c>
      <x:c r="D44" s="27" t="n">
        <x:v>6</x:v>
      </x:c>
      <x:c r="E44" s="27" t="n">
        <x:v>58</x:v>
      </x:c>
      <x:c r="F44" s="27" t="str">
        <x:v>Yes</x:v>
      </x:c>
      <x:c r="G44" s="27" t="str">
        <x:v>Excludes residual.</x:v>
      </x:c>
      <x:c r="H44" s="27" t="str">
        <x:v>S022</x:v>
      </x:c>
      <x:c r="I44" s="27" t="str">
        <x:v>4</x:v>
      </x:c>
      <x:c r="J44" s="27" t="str"/>
    </x:row>
    <x:row r="45">
      <x:c r="A45" s="27" t="str">
        <x:v>2022/23</x:v>
      </x:c>
      <x:c r="B45" s="27" t="str">
        <x:v>90% of Phase 3 large</x:v>
      </x:c>
      <x:c r="C45" s="27" t="n">
        <x:v>120</x:v>
      </x:c>
      <x:c r="D45" s="27" t="n">
        <x:v>13</x:v>
      </x:c>
      <x:c r="E45" s="27" t="n">
        <x:v>99</x:v>
      </x:c>
      <x:c r="F45" s="27" t="str">
        <x:v>Yes</x:v>
      </x:c>
      <x:c r="G45" s="27" t="str">
        <x:v>90% metric.</x:v>
      </x:c>
      <x:c r="H45" s="27" t="str">
        <x:v>S022</x:v>
      </x:c>
      <x:c r="I45" s="27" t="str">
        <x:v>4</x:v>
      </x:c>
      <x:c r="J45" s="27" t="str"/>
    </x:row>
    <x:row r="46">
      <x:c r="A46" s="27" t="str">
        <x:v>2023/24</x:v>
      </x:c>
      <x:c r="B46" s="27" t="str">
        <x:v>Phase 1</x:v>
      </x:c>
      <x:c r="C46" s="27" t="n">
        <x:v>20</x:v>
      </x:c>
      <x:c r="D46" s="27" t="n">
        <x:v>4</x:v>
      </x:c>
      <x:c r="E46" s="27" t="n">
        <x:v>12</x:v>
      </x:c>
      <x:c r="F46" s="27" t="str">
        <x:v>Yes</x:v>
      </x:c>
      <x:c r="G46" s="27" t="str">
        <x:v>Direct report.</x:v>
      </x:c>
      <x:c r="H46" s="27" t="str">
        <x:v>S023</x:v>
      </x:c>
      <x:c r="I46" s="27" t="str">
        <x:v>4</x:v>
      </x:c>
      <x:c r="J46" s="27" t="str"/>
    </x:row>
    <x:row r="47">
      <x:c r="A47" s="27" t="str">
        <x:v>2023/24</x:v>
      </x:c>
      <x:c r="B47" s="27" t="str">
        <x:v>Phase 2</x:v>
      </x:c>
      <x:c r="C47" s="27" t="n">
        <x:v>45</x:v>
      </x:c>
      <x:c r="D47" s="27" t="n">
        <x:v>208</x:v>
      </x:c>
      <x:c r="E47" s="27" t="n">
        <x:v>41</x:v>
      </x:c>
      <x:c r="F47" s="27" t="str">
        <x:v>Yes</x:v>
      </x:c>
      <x:c r="G47" s="27" t="str">
        <x:v>Direct report.</x:v>
      </x:c>
      <x:c r="H47" s="27" t="str">
        <x:v>S023</x:v>
      </x:c>
      <x:c r="I47" s="27" t="str">
        <x:v>4</x:v>
      </x:c>
      <x:c r="J47" s="27" t="str"/>
    </x:row>
    <x:row r="48">
      <x:c r="A48" s="27" t="str">
        <x:v>2023/24</x:v>
      </x:c>
      <x:c r="B48" s="27" t="str">
        <x:v>Phase 3 small/intermediate</x:v>
      </x:c>
      <x:c r="C48" s="27" t="n">
        <x:v>60</x:v>
      </x:c>
      <x:c r="D48" s="27" t="n">
        <x:v>34</x:v>
      </x:c>
      <x:c r="E48" s="27" t="n">
        <x:v>56</x:v>
      </x:c>
      <x:c r="F48" s="27" t="str">
        <x:v>Yes</x:v>
      </x:c>
      <x:c r="G48" s="27" t="str">
        <x:v>Direct report.</x:v>
      </x:c>
      <x:c r="H48" s="27" t="str">
        <x:v>S023</x:v>
      </x:c>
      <x:c r="I48" s="27" t="str">
        <x:v>4</x:v>
      </x:c>
      <x:c r="J48" s="27" t="str"/>
    </x:row>
    <x:row r="49">
      <x:c r="A49" s="27" t="str">
        <x:v>2023/24</x:v>
      </x:c>
      <x:c r="B49" s="27" t="str">
        <x:v>90% of Phase 3 large</x:v>
      </x:c>
      <x:c r="C49" s="27" t="n">
        <x:v>120</x:v>
      </x:c>
      <x:c r="D49" s="27" t="n">
        <x:v>17</x:v>
      </x:c>
      <x:c r="E49" s="27" t="n">
        <x:v>99</x:v>
      </x:c>
      <x:c r="F49" s="27" t="str">
        <x:v>Yes</x:v>
      </x:c>
      <x:c r="G49" s="27" t="str">
        <x:v>90% metric.</x:v>
      </x:c>
      <x:c r="H49" s="27" t="str">
        <x:v>S023</x:v>
      </x:c>
      <x:c r="I49" s="27" t="str">
        <x:v>4</x:v>
      </x:c>
      <x:c r="J49" s="27" t="str"/>
    </x:row>
    <x:row r="50">
      <x:c r="A50" s="27" t="str">
        <x:v>2024/25</x:v>
      </x:c>
      <x:c r="B50" s="27" t="str">
        <x:v>Phase 1</x:v>
      </x:c>
      <x:c r="C50" s="27" t="n">
        <x:v>20</x:v>
      </x:c>
      <x:c r="D50" s="27" t="n">
        <x:v>12</x:v>
      </x:c>
      <x:c r="E50" s="27" t="n">
        <x:v>14</x:v>
      </x:c>
      <x:c r="F50" s="27" t="str">
        <x:v>Yes</x:v>
      </x:c>
      <x:c r="G50" s="27" t="str">
        <x:v>Direct report.</x:v>
      </x:c>
      <x:c r="H50" s="27" t="str">
        <x:v>S024</x:v>
      </x:c>
      <x:c r="I50" s="27" t="str">
        <x:v>3</x:v>
      </x:c>
      <x:c r="J50" s="27" t="str"/>
    </x:row>
    <x:row r="51">
      <x:c r="A51" s="27" t="str">
        <x:v>2024/25</x:v>
      </x:c>
      <x:c r="B51" s="27" t="str">
        <x:v>Phase 2</x:v>
      </x:c>
      <x:c r="C51" s="27" t="n">
        <x:v>45</x:v>
      </x:c>
      <x:c r="D51" s="27" t="n">
        <x:v>253</x:v>
      </x:c>
      <x:c r="E51" s="27" t="n">
        <x:v>35</x:v>
      </x:c>
      <x:c r="F51" s="27" t="str">
        <x:v>Yes</x:v>
      </x:c>
      <x:c r="G51" s="27" t="str">
        <x:v>Direct report.</x:v>
      </x:c>
      <x:c r="H51" s="27" t="str">
        <x:v>S024</x:v>
      </x:c>
      <x:c r="I51" s="27" t="str">
        <x:v>3</x:v>
      </x:c>
      <x:c r="J51" s="27" t="str"/>
    </x:row>
    <x:row r="52">
      <x:c r="A52" s="27" t="str">
        <x:v>2024/25</x:v>
      </x:c>
      <x:c r="B52" s="27" t="str">
        <x:v>Phase 3 small/intermediate</x:v>
      </x:c>
      <x:c r="C52" s="27" t="n">
        <x:v>60</x:v>
      </x:c>
      <x:c r="D52" s="27" t="n">
        <x:v>32</x:v>
      </x:c>
      <x:c r="E52" s="27" t="n">
        <x:v>51</x:v>
      </x:c>
      <x:c r="F52" s="27" t="str">
        <x:v>Yes</x:v>
      </x:c>
      <x:c r="G52" s="27" t="str">
        <x:v>Direct report.</x:v>
      </x:c>
      <x:c r="H52" s="27" t="str">
        <x:v>S024</x:v>
      </x:c>
      <x:c r="I52" s="27" t="str">
        <x:v>3</x:v>
      </x:c>
      <x:c r="J52" s="27" t="str"/>
    </x:row>
    <x:row r="53">
      <x:c r="A53" s="27" t="str">
        <x:v>2024/25</x:v>
      </x:c>
      <x:c r="B53" s="27" t="str">
        <x:v>90% of Phase 3 large</x:v>
      </x:c>
      <x:c r="C53" s="27" t="n">
        <x:v>120</x:v>
      </x:c>
      <x:c r="D53" s="27" t="n">
        <x:v>23</x:v>
      </x:c>
      <x:c r="E53" s="27" t="n">
        <x:v>76</x:v>
      </x:c>
      <x:c r="F53" s="27" t="str">
        <x:v>Yes</x:v>
      </x:c>
      <x:c r="G53" s="27" t="str">
        <x:v>90% metric; all P3 large avg 106.</x:v>
      </x:c>
      <x:c r="H53" s="27" t="str">
        <x:v>S024</x:v>
      </x:c>
      <x:c r="I53" s="27" t="str">
        <x:v>3</x:v>
      </x:c>
      <x:c r="J53" s="27" t="str"/>
    </x:row>
    <x:row r="54">
      <x:c r="A54" s="27" t="str">
        <x:v>2024/25</x:v>
      </x:c>
      <x:c r="B54" s="27" t="str">
        <x:v>All Phase 3 large (reference)</x:v>
      </x:c>
      <x:c r="C54" s="27" t="n">
        <x:v>120</x:v>
      </x:c>
      <x:c r="D54" s="27" t="n">
        <x:v>23</x:v>
      </x:c>
      <x:c r="E54" s="27" t="n">
        <x:v>106</x:v>
      </x:c>
      <x:c r="F54" s="27" t="str">
        <x:v>Yes</x:v>
      </x:c>
      <x:c r="G54" s="27" t="str">
        <x:v>Supplementary all-case average.</x:v>
      </x:c>
      <x:c r="H54" s="27" t="str">
        <x:v>S024</x:v>
      </x:c>
      <x:c r="I54" s="27" t="str">
        <x:v>3</x:v>
      </x:c>
      <x:c r="J54" s="27" t="str">
        <x:v>Do not substitute for official 90% metric.</x:v>
      </x:c>
    </x:row>
  </x:sheetData>
  <x:mergeCells>
    <x:mergeCell ref="A1:J1"/>
    <x:mergeCell ref="A2:J2"/>
  </x:mergeCells>
  <x:conditionalFormatting sqref="F5:F54">
    <x:cfRule type="expression" dxfId="2" priority="1">
      <x:formula>F5="No"</x:formula>
    </x:cfRule>
    <x:cfRule type="expression" dxfId="3" priority="2">
      <x:formula>F5="Yes"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29204e1105e409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28" hidden="0" customWidth="1"/>
    <x:col min="4" max="4" width="13" hidden="0" customWidth="1"/>
    <x:col min="5" max="5" width="10" hidden="0" customWidth="1"/>
    <x:col min="6" max="6" width="11" hidden="0" customWidth="1"/>
    <x:col min="7" max="7" width="40" hidden="0" customWidth="1"/>
    <x:col min="8" max="8" width="10" hidden="0" customWidth="1"/>
    <x:col min="9" max="9" width="10" hidden="0" customWidth="1"/>
    <x:col min="10" max="10" width="40" hidden="0" customWidth="1"/>
  </x:cols>
  <x:sheetData>
    <x:row r="1" ht="28" customHeight="1">
      <x:c r="A1" s="4" t="str">
        <x:v>Sectoral Merger Activity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Raw Commission sector names are preserved. Harmonised sector is a secondary researcher mapping; statistic basis changes across reports.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 ht="30" customHeight="1">
      <x:c r="A4" s="20" t="str">
        <x:v>Financial year</x:v>
      </x:c>
      <x:c r="B4" s="20" t="str">
        <x:v>Raw sector</x:v>
      </x:c>
      <x:c r="C4" s="20" t="str">
        <x:v>Harmonised sector</x:v>
      </x:c>
      <x:c r="D4" s="20" t="str">
        <x:v>Sector level</x:v>
      </x:c>
      <x:c r="E4" s="20" t="str">
        <x:v>Count</x:v>
      </x:c>
      <x:c r="F4" s="20" t="str">
        <x:v>Share (%)</x:v>
      </x:c>
      <x:c r="G4" s="20" t="str">
        <x:v>Statistic basis</x:v>
      </x:c>
      <x:c r="H4" s="20" t="str">
        <x:v>Source_ID</x:v>
      </x:c>
      <x:c r="I4" s="20" t="str">
        <x:v>PDF page</x:v>
      </x:c>
      <x:c r="J4" s="20" t="str">
        <x:v>Note</x:v>
      </x:c>
    </x:row>
    <x:row r="5">
      <x:c r="A5" s="27" t="str">
        <x:v>2004/05</x:v>
      </x:c>
      <x:c r="B5" s="27" t="str">
        <x:v>Mining &amp; Construction</x:v>
      </x:c>
      <x:c r="C5" s="27" t="str">
        <x:v>Mining/Construction</x:v>
      </x:c>
      <x:c r="D5" s="27" t="str">
        <x:v>Top-level</x:v>
      </x:c>
      <x:c r="E5" s="27" t="str">
        <x:v>NR</x:v>
      </x:c>
      <x:c r="F5" s="34" t="n">
        <x:v>3.7</x:v>
      </x:c>
      <x:c r="G5" s="27" t="str">
        <x:v>Merger activity by sector</x:v>
      </x:c>
      <x:c r="H5" s="27" t="str">
        <x:v>S004</x:v>
      </x:c>
      <x:c r="I5" s="27" t="str">
        <x:v>3</x:v>
      </x:c>
      <x:c r="J5" s="27" t="str"/>
    </x:row>
    <x:row r="6">
      <x:c r="A6" s="27" t="str">
        <x:v>2004/05</x:v>
      </x:c>
      <x:c r="B6" s="27" t="str">
        <x:v>Financial Services</x:v>
      </x:c>
      <x:c r="C6" s="27" t="str">
        <x:v>Finance</x:v>
      </x:c>
      <x:c r="D6" s="27" t="str">
        <x:v>Top-level</x:v>
      </x:c>
      <x:c r="E6" s="27" t="str">
        <x:v>NR</x:v>
      </x:c>
      <x:c r="F6" s="34" t="n">
        <x:v>7.4</x:v>
      </x:c>
      <x:c r="G6" s="27" t="str">
        <x:v>Merger activity by sector</x:v>
      </x:c>
      <x:c r="H6" s="27" t="str">
        <x:v>S004</x:v>
      </x:c>
      <x:c r="I6" s="27" t="str">
        <x:v>3</x:v>
      </x:c>
      <x:c r="J6" s="27" t="str"/>
    </x:row>
    <x:row r="7">
      <x:c r="A7" s="27" t="str">
        <x:v>2004/05</x:v>
      </x:c>
      <x:c r="B7" s="27" t="str">
        <x:v>IT</x:v>
      </x:c>
      <x:c r="C7" s="27" t="str">
        <x:v>ICT</x:v>
      </x:c>
      <x:c r="D7" s="27" t="str">
        <x:v>Top-level</x:v>
      </x:c>
      <x:c r="E7" s="27" t="str">
        <x:v>NR</x:v>
      </x:c>
      <x:c r="F7" s="34" t="n">
        <x:v>3.4</x:v>
      </x:c>
      <x:c r="G7" s="27" t="str">
        <x:v>Merger activity by sector</x:v>
      </x:c>
      <x:c r="H7" s="27" t="str">
        <x:v>S004</x:v>
      </x:c>
      <x:c r="I7" s="27" t="str">
        <x:v>3</x:v>
      </x:c>
      <x:c r="J7" s="27" t="str"/>
    </x:row>
    <x:row r="8">
      <x:c r="A8" s="27" t="str">
        <x:v>2004/05</x:v>
      </x:c>
      <x:c r="B8" s="27" t="str">
        <x:v>Transport</x:v>
      </x:c>
      <x:c r="C8" s="27" t="str">
        <x:v>Transport</x:v>
      </x:c>
      <x:c r="D8" s="27" t="str">
        <x:v>Top-level</x:v>
      </x:c>
      <x:c r="E8" s="27" t="str">
        <x:v>NR</x:v>
      </x:c>
      <x:c r="F8" s="34" t="n">
        <x:v>3</x:v>
      </x:c>
      <x:c r="G8" s="27" t="str">
        <x:v>Merger activity by sector</x:v>
      </x:c>
      <x:c r="H8" s="27" t="str">
        <x:v>S004</x:v>
      </x:c>
      <x:c r="I8" s="27" t="str">
        <x:v>3</x:v>
      </x:c>
      <x:c r="J8" s="27" t="str"/>
    </x:row>
    <x:row r="9">
      <x:c r="A9" s="27" t="str">
        <x:v>2004/05</x:v>
      </x:c>
      <x:c r="B9" s="27" t="str">
        <x:v>Manufacturing</x:v>
      </x:c>
      <x:c r="C9" s="27" t="str">
        <x:v>Manufacturing</x:v>
      </x:c>
      <x:c r="D9" s="27" t="str">
        <x:v>Top-level</x:v>
      </x:c>
      <x:c r="E9" s="27" t="str">
        <x:v>NR</x:v>
      </x:c>
      <x:c r="F9" s="34" t="n">
        <x:v>23.8</x:v>
      </x:c>
      <x:c r="G9" s="27" t="str">
        <x:v>Merger activity by sector</x:v>
      </x:c>
      <x:c r="H9" s="27" t="str">
        <x:v>S004</x:v>
      </x:c>
      <x:c r="I9" s="27" t="str">
        <x:v>3</x:v>
      </x:c>
      <x:c r="J9" s="27" t="str"/>
    </x:row>
    <x:row r="10">
      <x:c r="A10" s="27" t="str">
        <x:v>2004/05</x:v>
      </x:c>
      <x:c r="B10" s="27" t="str">
        <x:v>Services</x:v>
      </x:c>
      <x:c r="C10" s="27" t="str">
        <x:v>Services</x:v>
      </x:c>
      <x:c r="D10" s="27" t="str">
        <x:v>Top-level</x:v>
      </x:c>
      <x:c r="E10" s="27" t="str">
        <x:v>NR</x:v>
      </x:c>
      <x:c r="F10" s="34" t="n">
        <x:v>12.7</x:v>
      </x:c>
      <x:c r="G10" s="27" t="str">
        <x:v>Merger activity by sector</x:v>
      </x:c>
      <x:c r="H10" s="27" t="str">
        <x:v>S004</x:v>
      </x:c>
      <x:c r="I10" s="27" t="str">
        <x:v>3</x:v>
      </x:c>
      <x:c r="J10" s="27" t="str"/>
    </x:row>
    <x:row r="11">
      <x:c r="A11" s="27" t="str">
        <x:v>2004/05</x:v>
      </x:c>
      <x:c r="B11" s="27" t="str">
        <x:v>Real Estate</x:v>
      </x:c>
      <x:c r="C11" s="27" t="str">
        <x:v>Property</x:v>
      </x:c>
      <x:c r="D11" s="27" t="str">
        <x:v>Top-level</x:v>
      </x:c>
      <x:c r="E11" s="27" t="str">
        <x:v>NR</x:v>
      </x:c>
      <x:c r="F11" s="34" t="n">
        <x:v>18.5</x:v>
      </x:c>
      <x:c r="G11" s="27" t="str">
        <x:v>Merger activity by sector</x:v>
      </x:c>
      <x:c r="H11" s="27" t="str">
        <x:v>S004</x:v>
      </x:c>
      <x:c r="I11" s="27" t="str">
        <x:v>3</x:v>
      </x:c>
      <x:c r="J11" s="27" t="str"/>
    </x:row>
    <x:row r="12">
      <x:c r="A12" s="27" t="str">
        <x:v>2004/05</x:v>
      </x:c>
      <x:c r="B12" s="27" t="str">
        <x:v>Wholesale</x:v>
      </x:c>
      <x:c r="C12" s="27" t="str">
        <x:v>Wholesale</x:v>
      </x:c>
      <x:c r="D12" s="27" t="str">
        <x:v>Top-level</x:v>
      </x:c>
      <x:c r="E12" s="27" t="str">
        <x:v>NR</x:v>
      </x:c>
      <x:c r="F12" s="34" t="n">
        <x:v>10.7</x:v>
      </x:c>
      <x:c r="G12" s="27" t="str">
        <x:v>Merger activity by sector</x:v>
      </x:c>
      <x:c r="H12" s="27" t="str">
        <x:v>S004</x:v>
      </x:c>
      <x:c r="I12" s="27" t="str">
        <x:v>3</x:v>
      </x:c>
      <x:c r="J12" s="27" t="str"/>
    </x:row>
    <x:row r="13">
      <x:c r="A13" s="27" t="str">
        <x:v>2004/05</x:v>
      </x:c>
      <x:c r="B13" s="27" t="str">
        <x:v>Retail</x:v>
      </x:c>
      <x:c r="C13" s="27" t="str">
        <x:v>Retail</x:v>
      </x:c>
      <x:c r="D13" s="27" t="str">
        <x:v>Top-level</x:v>
      </x:c>
      <x:c r="E13" s="27" t="str">
        <x:v>NR</x:v>
      </x:c>
      <x:c r="F13" s="34" t="n">
        <x:v>5.4</x:v>
      </x:c>
      <x:c r="G13" s="27" t="str">
        <x:v>Merger activity by sector</x:v>
      </x:c>
      <x:c r="H13" s="27" t="str">
        <x:v>S004</x:v>
      </x:c>
      <x:c r="I13" s="27" t="str">
        <x:v>3</x:v>
      </x:c>
      <x:c r="J13" s="27" t="str"/>
    </x:row>
    <x:row r="14">
      <x:c r="A14" s="27" t="str">
        <x:v>2004/05</x:v>
      </x:c>
      <x:c r="B14" s="27" t="str">
        <x:v>Other</x:v>
      </x:c>
      <x:c r="C14" s="27" t="str">
        <x:v>Other</x:v>
      </x:c>
      <x:c r="D14" s="27" t="str">
        <x:v>Top-level</x:v>
      </x:c>
      <x:c r="E14" s="27" t="str">
        <x:v>NR</x:v>
      </x:c>
      <x:c r="F14" s="34" t="n">
        <x:v>11.4</x:v>
      </x:c>
      <x:c r="G14" s="27" t="str">
        <x:v>Merger activity by sector</x:v>
      </x:c>
      <x:c r="H14" s="27" t="str">
        <x:v>S004</x:v>
      </x:c>
      <x:c r="I14" s="27" t="str">
        <x:v>3</x:v>
      </x:c>
      <x:c r="J14" s="27" t="str"/>
    </x:row>
    <x:row r="15">
      <x:c r="A15" s="27" t="str">
        <x:v>2004/05</x:v>
      </x:c>
      <x:c r="B15" s="27" t="str">
        <x:v>Food &amp; Beverages</x:v>
      </x:c>
      <x:c r="C15" s="27" t="str">
        <x:v>Manufacturing - Food &amp; beverages</x:v>
      </x:c>
      <x:c r="D15" s="27" t="str">
        <x:v>Sub-sector</x:v>
      </x:c>
      <x:c r="E15" s="27" t="str">
        <x:v>NR</x:v>
      </x:c>
      <x:c r="F15" s="34" t="n">
        <x:v>6.71</x:v>
      </x:c>
      <x:c r="G15" s="27" t="str">
        <x:v>Manufacturing sub-sector share</x:v>
      </x:c>
      <x:c r="H15" s="27" t="str">
        <x:v>S004</x:v>
      </x:c>
      <x:c r="I15" s="27" t="str">
        <x:v>3</x:v>
      </x:c>
      <x:c r="J15" s="27" t="str"/>
    </x:row>
    <x:row r="16">
      <x:c r="A16" s="27" t="str">
        <x:v>2004/05</x:v>
      </x:c>
      <x:c r="B16" s="27" t="str">
        <x:v>Chemicals</x:v>
      </x:c>
      <x:c r="C16" s="27" t="str">
        <x:v>Manufacturing - Chemicals</x:v>
      </x:c>
      <x:c r="D16" s="27" t="str">
        <x:v>Sub-sector</x:v>
      </x:c>
      <x:c r="E16" s="27" t="str">
        <x:v>NR</x:v>
      </x:c>
      <x:c r="F16" s="34" t="n">
        <x:v>4.36</x:v>
      </x:c>
      <x:c r="G16" s="27" t="str">
        <x:v>Manufacturing sub-sector share</x:v>
      </x:c>
      <x:c r="H16" s="27" t="str">
        <x:v>S004</x:v>
      </x:c>
      <x:c r="I16" s="27" t="str">
        <x:v>3</x:v>
      </x:c>
      <x:c r="J16" s="27" t="str"/>
    </x:row>
    <x:row r="17">
      <x:c r="A17" s="27" t="str">
        <x:v>2004/05</x:v>
      </x:c>
      <x:c r="B17" s="27" t="str">
        <x:v>Electrical Equipment</x:v>
      </x:c>
      <x:c r="C17" s="27" t="str">
        <x:v>Manufacturing - Electrical equipment</x:v>
      </x:c>
      <x:c r="D17" s="27" t="str">
        <x:v>Sub-sector</x:v>
      </x:c>
      <x:c r="E17" s="27" t="str">
        <x:v>NR</x:v>
      </x:c>
      <x:c r="F17" s="34" t="n">
        <x:v>1.01</x:v>
      </x:c>
      <x:c r="G17" s="27" t="str">
        <x:v>Manufacturing sub-sector share</x:v>
      </x:c>
      <x:c r="H17" s="27" t="str">
        <x:v>S004</x:v>
      </x:c>
      <x:c r="I17" s="27" t="str">
        <x:v>3</x:v>
      </x:c>
      <x:c r="J17" s="27" t="str"/>
    </x:row>
    <x:row r="18">
      <x:c r="A18" s="27" t="str">
        <x:v>2004/05</x:v>
      </x:c>
      <x:c r="B18" s="27" t="str">
        <x:v>Paper &amp; Packaging</x:v>
      </x:c>
      <x:c r="C18" s="27" t="str">
        <x:v>Manufacturing - Paper &amp; packaging</x:v>
      </x:c>
      <x:c r="D18" s="27" t="str">
        <x:v>Sub-sector</x:v>
      </x:c>
      <x:c r="E18" s="27" t="str">
        <x:v>NR</x:v>
      </x:c>
      <x:c r="F18" s="34" t="n">
        <x:v>3.36</x:v>
      </x:c>
      <x:c r="G18" s="27" t="str">
        <x:v>Manufacturing sub-sector share</x:v>
      </x:c>
      <x:c r="H18" s="27" t="str">
        <x:v>S004</x:v>
      </x:c>
      <x:c r="I18" s="27" t="str">
        <x:v>3</x:v>
      </x:c>
      <x:c r="J18" s="27" t="str"/>
    </x:row>
    <x:row r="19">
      <x:c r="A19" s="27" t="str">
        <x:v>2004/05</x:v>
      </x:c>
      <x:c r="B19" s="27" t="str">
        <x:v>Building Materials</x:v>
      </x:c>
      <x:c r="C19" s="27" t="str">
        <x:v>Manufacturing - Building materials</x:v>
      </x:c>
      <x:c r="D19" s="27" t="str">
        <x:v>Sub-sector</x:v>
      </x:c>
      <x:c r="E19" s="27" t="str">
        <x:v>NR</x:v>
      </x:c>
      <x:c r="F19" s="34" t="n">
        <x:v>1.68</x:v>
      </x:c>
      <x:c r="G19" s="27" t="str">
        <x:v>Manufacturing sub-sector share</x:v>
      </x:c>
      <x:c r="H19" s="27" t="str">
        <x:v>S004</x:v>
      </x:c>
      <x:c r="I19" s="27" t="str">
        <x:v>3</x:v>
      </x:c>
      <x:c r="J19" s="27" t="str"/>
    </x:row>
    <x:row r="20">
      <x:c r="A20" s="27" t="str">
        <x:v>2004/05</x:v>
      </x:c>
      <x:c r="B20" s="27" t="str">
        <x:v>Printing &amp; Publishing</x:v>
      </x:c>
      <x:c r="C20" s="27" t="str">
        <x:v>Manufacturing - Printing &amp; publishing</x:v>
      </x:c>
      <x:c r="D20" s="27" t="str">
        <x:v>Sub-sector</x:v>
      </x:c>
      <x:c r="E20" s="27" t="str">
        <x:v>NR</x:v>
      </x:c>
      <x:c r="F20" s="34" t="n">
        <x:v>0.67</x:v>
      </x:c>
      <x:c r="G20" s="27" t="str">
        <x:v>Manufacturing sub-sector share</x:v>
      </x:c>
      <x:c r="H20" s="27" t="str">
        <x:v>S004</x:v>
      </x:c>
      <x:c r="I20" s="27" t="str">
        <x:v>3</x:v>
      </x:c>
      <x:c r="J20" s="27" t="str"/>
    </x:row>
    <x:row r="21">
      <x:c r="A21" s="27" t="str">
        <x:v>2004/05</x:v>
      </x:c>
      <x:c r="B21" s="27" t="str">
        <x:v>Equipment &amp; Machinery</x:v>
      </x:c>
      <x:c r="C21" s="27" t="str">
        <x:v>Manufacturing - Equipment &amp; machinery</x:v>
      </x:c>
      <x:c r="D21" s="27" t="str">
        <x:v>Sub-sector</x:v>
      </x:c>
      <x:c r="E21" s="27" t="str">
        <x:v>NR</x:v>
      </x:c>
      <x:c r="F21" s="34" t="n">
        <x:v>1.01</x:v>
      </x:c>
      <x:c r="G21" s="27" t="str">
        <x:v>Manufacturing sub-sector share</x:v>
      </x:c>
      <x:c r="H21" s="27" t="str">
        <x:v>S004</x:v>
      </x:c>
      <x:c r="I21" s="27" t="str">
        <x:v>3</x:v>
      </x:c>
      <x:c r="J21" s="27" t="str"/>
    </x:row>
    <x:row r="22">
      <x:c r="A22" s="27" t="str">
        <x:v>2004/05</x:v>
      </x:c>
      <x:c r="B22" s="27" t="str">
        <x:v>Metal Products</x:v>
      </x:c>
      <x:c r="C22" s="27" t="str">
        <x:v>Manufacturing - Metal products</x:v>
      </x:c>
      <x:c r="D22" s="27" t="str">
        <x:v>Sub-sector</x:v>
      </x:c>
      <x:c r="E22" s="27" t="str">
        <x:v>NR</x:v>
      </x:c>
      <x:c r="F22" s="34" t="n">
        <x:v>2.35</x:v>
      </x:c>
      <x:c r="G22" s="27" t="str">
        <x:v>Manufacturing sub-sector share</x:v>
      </x:c>
      <x:c r="H22" s="27" t="str">
        <x:v>S004</x:v>
      </x:c>
      <x:c r="I22" s="27" t="str">
        <x:v>3</x:v>
      </x:c>
      <x:c r="J22" s="27" t="str"/>
    </x:row>
    <x:row r="23">
      <x:c r="A23" s="27" t="str">
        <x:v>2004/05</x:v>
      </x:c>
      <x:c r="B23" s="27" t="str">
        <x:v>Transport Equipment</x:v>
      </x:c>
      <x:c r="C23" s="27" t="str">
        <x:v>Manufacturing - Transport equipment</x:v>
      </x:c>
      <x:c r="D23" s="27" t="str">
        <x:v>Sub-sector</x:v>
      </x:c>
      <x:c r="E23" s="27" t="str">
        <x:v>NR</x:v>
      </x:c>
      <x:c r="F23" s="34" t="n">
        <x:v>1.34</x:v>
      </x:c>
      <x:c r="G23" s="27" t="str">
        <x:v>Manufacturing sub-sector share</x:v>
      </x:c>
      <x:c r="H23" s="27" t="str">
        <x:v>S004</x:v>
      </x:c>
      <x:c r="I23" s="27" t="str">
        <x:v>3</x:v>
      </x:c>
      <x:c r="J23" s="27" t="str"/>
    </x:row>
    <x:row r="24">
      <x:c r="A24" s="27" t="str">
        <x:v>2004/05</x:v>
      </x:c>
      <x:c r="B24" s="27" t="str">
        <x:v>Textiles &amp; Fabrics</x:v>
      </x:c>
      <x:c r="C24" s="27" t="str">
        <x:v>Manufacturing - Textiles &amp; fabrics</x:v>
      </x:c>
      <x:c r="D24" s="27" t="str">
        <x:v>Sub-sector</x:v>
      </x:c>
      <x:c r="E24" s="27" t="str">
        <x:v>NR</x:v>
      </x:c>
      <x:c r="F24" s="34" t="n">
        <x:v>0.67</x:v>
      </x:c>
      <x:c r="G24" s="27" t="str">
        <x:v>Manufacturing sub-sector share</x:v>
      </x:c>
      <x:c r="H24" s="27" t="str">
        <x:v>S004</x:v>
      </x:c>
      <x:c r="I24" s="27" t="str">
        <x:v>3</x:v>
      </x:c>
      <x:c r="J24" s="27" t="str"/>
    </x:row>
    <x:row r="25">
      <x:c r="A25" s="27" t="str">
        <x:v>2004/05</x:v>
      </x:c>
      <x:c r="B25" s="27" t="str">
        <x:v>Other Manufacturing</x:v>
      </x:c>
      <x:c r="C25" s="27" t="str">
        <x:v>Manufacturing - Other</x:v>
      </x:c>
      <x:c r="D25" s="27" t="str">
        <x:v>Sub-sector</x:v>
      </x:c>
      <x:c r="E25" s="27" t="str">
        <x:v>NR</x:v>
      </x:c>
      <x:c r="F25" s="34" t="n">
        <x:v>0.67</x:v>
      </x:c>
      <x:c r="G25" s="27" t="str">
        <x:v>Manufacturing sub-sector share</x:v>
      </x:c>
      <x:c r="H25" s="27" t="str">
        <x:v>S004</x:v>
      </x:c>
      <x:c r="I25" s="27" t="str">
        <x:v>3</x:v>
      </x:c>
      <x:c r="J25" s="27" t="str"/>
    </x:row>
    <x:row r="26">
      <x:c r="A26" s="27" t="str">
        <x:v>2005/06</x:v>
      </x:c>
      <x:c r="B26" s="27" t="str">
        <x:v>Mining</x:v>
      </x:c>
      <x:c r="C26" s="27" t="str">
        <x:v>Mining</x:v>
      </x:c>
      <x:c r="D26" s="27" t="str">
        <x:v>Top-level</x:v>
      </x:c>
      <x:c r="E26" s="27" t="n">
        <x:v>21</x:v>
      </x:c>
      <x:c r="F26" s="34" t="n">
        <x:v>5.33</x:v>
      </x:c>
      <x:c r="G26" s="27" t="str">
        <x:v>Commission merger decisions/activity</x:v>
      </x:c>
      <x:c r="H26" s="27" t="str">
        <x:v>S005</x:v>
      </x:c>
      <x:c r="I26" s="27" t="str">
        <x:v>4</x:v>
      </x:c>
      <x:c r="J26" s="27" t="str"/>
    </x:row>
    <x:row r="27">
      <x:c r="A27" s="27" t="str">
        <x:v>2005/06</x:v>
      </x:c>
      <x:c r="B27" s="27" t="str">
        <x:v>Construction</x:v>
      </x:c>
      <x:c r="C27" s="27" t="str">
        <x:v>Construction</x:v>
      </x:c>
      <x:c r="D27" s="27" t="str">
        <x:v>Top-level</x:v>
      </x:c>
      <x:c r="E27" s="27" t="n">
        <x:v>6</x:v>
      </x:c>
      <x:c r="F27" s="34" t="n">
        <x:v>1.52</x:v>
      </x:c>
      <x:c r="G27" s="27" t="str">
        <x:v>Commission merger decisions/activity</x:v>
      </x:c>
      <x:c r="H27" s="27" t="str">
        <x:v>S005</x:v>
      </x:c>
      <x:c r="I27" s="27" t="str">
        <x:v>4</x:v>
      </x:c>
      <x:c r="J27" s="27" t="str"/>
    </x:row>
    <x:row r="28">
      <x:c r="A28" s="27" t="str">
        <x:v>2005/06</x:v>
      </x:c>
      <x:c r="B28" s="27" t="str">
        <x:v>Financial services</x:v>
      </x:c>
      <x:c r="C28" s="27" t="str">
        <x:v>Finance</x:v>
      </x:c>
      <x:c r="D28" s="27" t="str">
        <x:v>Top-level</x:v>
      </x:c>
      <x:c r="E28" s="27" t="n">
        <x:v>52</x:v>
      </x:c>
      <x:c r="F28" s="34" t="n">
        <x:v>13.2</x:v>
      </x:c>
      <x:c r="G28" s="27" t="str">
        <x:v>Commission merger decisions/activity</x:v>
      </x:c>
      <x:c r="H28" s="27" t="str">
        <x:v>S005</x:v>
      </x:c>
      <x:c r="I28" s="27" t="str">
        <x:v>4</x:v>
      </x:c>
      <x:c r="J28" s="27" t="str"/>
    </x:row>
    <x:row r="29">
      <x:c r="A29" s="27" t="str">
        <x:v>2005/06</x:v>
      </x:c>
      <x:c r="B29" s="27" t="str">
        <x:v>IT</x:v>
      </x:c>
      <x:c r="C29" s="27" t="str">
        <x:v>ICT</x:v>
      </x:c>
      <x:c r="D29" s="27" t="str">
        <x:v>Top-level</x:v>
      </x:c>
      <x:c r="E29" s="27" t="n">
        <x:v>9</x:v>
      </x:c>
      <x:c r="F29" s="34" t="n">
        <x:v>2.28</x:v>
      </x:c>
      <x:c r="G29" s="27" t="str">
        <x:v>Commission merger decisions/activity</x:v>
      </x:c>
      <x:c r="H29" s="27" t="str">
        <x:v>S005</x:v>
      </x:c>
      <x:c r="I29" s="27" t="str">
        <x:v>4</x:v>
      </x:c>
      <x:c r="J29" s="27" t="str"/>
    </x:row>
    <x:row r="30">
      <x:c r="A30" s="27" t="str">
        <x:v>2005/06</x:v>
      </x:c>
      <x:c r="B30" s="27" t="str">
        <x:v>Transport</x:v>
      </x:c>
      <x:c r="C30" s="27" t="str">
        <x:v>Transport</x:v>
      </x:c>
      <x:c r="D30" s="27" t="str">
        <x:v>Top-level</x:v>
      </x:c>
      <x:c r="E30" s="27" t="n">
        <x:v>16</x:v>
      </x:c>
      <x:c r="F30" s="34" t="n">
        <x:v>4.06</x:v>
      </x:c>
      <x:c r="G30" s="27" t="str">
        <x:v>Commission merger decisions/activity</x:v>
      </x:c>
      <x:c r="H30" s="27" t="str">
        <x:v>S005</x:v>
      </x:c>
      <x:c r="I30" s="27" t="str">
        <x:v>4</x:v>
      </x:c>
      <x:c r="J30" s="27" t="str"/>
    </x:row>
    <x:row r="31">
      <x:c r="A31" s="27" t="str">
        <x:v>2005/06</x:v>
      </x:c>
      <x:c r="B31" s="27" t="str">
        <x:v>Manufacturing</x:v>
      </x:c>
      <x:c r="C31" s="27" t="str">
        <x:v>Manufacturing</x:v>
      </x:c>
      <x:c r="D31" s="27" t="str">
        <x:v>Top-level</x:v>
      </x:c>
      <x:c r="E31" s="27" t="n">
        <x:v>96</x:v>
      </x:c>
      <x:c r="F31" s="34" t="n">
        <x:v>24.37</x:v>
      </x:c>
      <x:c r="G31" s="27" t="str">
        <x:v>Commission merger decisions/activity</x:v>
      </x:c>
      <x:c r="H31" s="27" t="str">
        <x:v>S005</x:v>
      </x:c>
      <x:c r="I31" s="27" t="str">
        <x:v>4</x:v>
      </x:c>
      <x:c r="J31" s="27" t="str"/>
    </x:row>
    <x:row r="32">
      <x:c r="A32" s="27" t="str">
        <x:v>2005/06</x:v>
      </x:c>
      <x:c r="B32" s="27" t="str">
        <x:v>Telecommunications</x:v>
      </x:c>
      <x:c r="C32" s="27" t="str">
        <x:v>Telecommunications</x:v>
      </x:c>
      <x:c r="D32" s="27" t="str">
        <x:v>Top-level</x:v>
      </x:c>
      <x:c r="E32" s="27" t="n">
        <x:v>19</x:v>
      </x:c>
      <x:c r="F32" s="34" t="n">
        <x:v>4.82</x:v>
      </x:c>
      <x:c r="G32" s="27" t="str">
        <x:v>Commission merger decisions/activity</x:v>
      </x:c>
      <x:c r="H32" s="27" t="str">
        <x:v>S005</x:v>
      </x:c>
      <x:c r="I32" s="27" t="str">
        <x:v>4</x:v>
      </x:c>
      <x:c r="J32" s="27" t="str"/>
    </x:row>
    <x:row r="33">
      <x:c r="A33" s="27" t="str">
        <x:v>2005/06</x:v>
      </x:c>
      <x:c r="B33" s="27" t="str">
        <x:v>Real estate</x:v>
      </x:c>
      <x:c r="C33" s="27" t="str">
        <x:v>Property</x:v>
      </x:c>
      <x:c r="D33" s="27" t="str">
        <x:v>Top-level</x:v>
      </x:c>
      <x:c r="E33" s="27" t="n">
        <x:v>61</x:v>
      </x:c>
      <x:c r="F33" s="34" t="n">
        <x:v>15.48</x:v>
      </x:c>
      <x:c r="G33" s="27" t="str">
        <x:v>Commission merger decisions/activity</x:v>
      </x:c>
      <x:c r="H33" s="27" t="str">
        <x:v>S005</x:v>
      </x:c>
      <x:c r="I33" s="27" t="str">
        <x:v>4</x:v>
      </x:c>
      <x:c r="J33" s="27" t="str"/>
    </x:row>
    <x:row r="34">
      <x:c r="A34" s="27" t="str">
        <x:v>2005/06</x:v>
      </x:c>
      <x:c r="B34" s="27" t="str">
        <x:v>Wholesale</x:v>
      </x:c>
      <x:c r="C34" s="27" t="str">
        <x:v>Wholesale</x:v>
      </x:c>
      <x:c r="D34" s="27" t="str">
        <x:v>Top-level</x:v>
      </x:c>
      <x:c r="E34" s="27" t="n">
        <x:v>35</x:v>
      </x:c>
      <x:c r="F34" s="34" t="n">
        <x:v>8.88</x:v>
      </x:c>
      <x:c r="G34" s="27" t="str">
        <x:v>Commission merger decisions/activity</x:v>
      </x:c>
      <x:c r="H34" s="27" t="str">
        <x:v>S005</x:v>
      </x:c>
      <x:c r="I34" s="27" t="str">
        <x:v>4</x:v>
      </x:c>
      <x:c r="J34" s="27" t="str"/>
    </x:row>
    <x:row r="35">
      <x:c r="A35" s="27" t="str">
        <x:v>2005/06</x:v>
      </x:c>
      <x:c r="B35" s="27" t="str">
        <x:v>Retail</x:v>
      </x:c>
      <x:c r="C35" s="27" t="str">
        <x:v>Retail</x:v>
      </x:c>
      <x:c r="D35" s="27" t="str">
        <x:v>Top-level</x:v>
      </x:c>
      <x:c r="E35" s="27" t="n">
        <x:v>20</x:v>
      </x:c>
      <x:c r="F35" s="34" t="n">
        <x:v>5.08</x:v>
      </x:c>
      <x:c r="G35" s="27" t="str">
        <x:v>Commission merger decisions/activity</x:v>
      </x:c>
      <x:c r="H35" s="27" t="str">
        <x:v>S005</x:v>
      </x:c>
      <x:c r="I35" s="27" t="str">
        <x:v>4</x:v>
      </x:c>
      <x:c r="J35" s="27" t="str"/>
    </x:row>
    <x:row r="36">
      <x:c r="A36" s="27" t="str">
        <x:v>2005/06</x:v>
      </x:c>
      <x:c r="B36" s="27" t="str">
        <x:v>Agriculture</x:v>
      </x:c>
      <x:c r="C36" s="27" t="str">
        <x:v>Agriculture</x:v>
      </x:c>
      <x:c r="D36" s="27" t="str">
        <x:v>Top-level</x:v>
      </x:c>
      <x:c r="E36" s="27" t="n">
        <x:v>4</x:v>
      </x:c>
      <x:c r="F36" s="34" t="n">
        <x:v>1.02</x:v>
      </x:c>
      <x:c r="G36" s="27" t="str">
        <x:v>Commission merger decisions/activity</x:v>
      </x:c>
      <x:c r="H36" s="27" t="str">
        <x:v>S005</x:v>
      </x:c>
      <x:c r="I36" s="27" t="str">
        <x:v>4</x:v>
      </x:c>
      <x:c r="J36" s="27" t="str"/>
    </x:row>
    <x:row r="37">
      <x:c r="A37" s="27" t="str">
        <x:v>2005/06</x:v>
      </x:c>
      <x:c r="B37" s="27" t="str">
        <x:v>Hotels and restaurants</x:v>
      </x:c>
      <x:c r="C37" s="27" t="str">
        <x:v>Accommodation</x:v>
      </x:c>
      <x:c r="D37" s="27" t="str">
        <x:v>Top-level</x:v>
      </x:c>
      <x:c r="E37" s="27" t="n">
        <x:v>8</x:v>
      </x:c>
      <x:c r="F37" s="34" t="n">
        <x:v>2.03</x:v>
      </x:c>
      <x:c r="G37" s="27" t="str">
        <x:v>Commission merger decisions/activity</x:v>
      </x:c>
      <x:c r="H37" s="27" t="str">
        <x:v>S005</x:v>
      </x:c>
      <x:c r="I37" s="27" t="str">
        <x:v>4</x:v>
      </x:c>
      <x:c r="J37" s="27" t="str"/>
    </x:row>
    <x:row r="38">
      <x:c r="A38" s="27" t="str">
        <x:v>2005/06</x:v>
      </x:c>
      <x:c r="B38" s="27" t="str">
        <x:v>Motor vehicles</x:v>
      </x:c>
      <x:c r="C38" s="27" t="str">
        <x:v>Automotive</x:v>
      </x:c>
      <x:c r="D38" s="27" t="str">
        <x:v>Top-level</x:v>
      </x:c>
      <x:c r="E38" s="27" t="n">
        <x:v>20</x:v>
      </x:c>
      <x:c r="F38" s="34" t="n">
        <x:v>5.08</x:v>
      </x:c>
      <x:c r="G38" s="27" t="str">
        <x:v>Commission merger decisions/activity</x:v>
      </x:c>
      <x:c r="H38" s="27" t="str">
        <x:v>S005</x:v>
      </x:c>
      <x:c r="I38" s="27" t="str">
        <x:v>4</x:v>
      </x:c>
      <x:c r="J38" s="27" t="str"/>
    </x:row>
    <x:row r="39">
      <x:c r="A39" s="27" t="str">
        <x:v>2005/06</x:v>
      </x:c>
      <x:c r="B39" s="27" t="str">
        <x:v>Services</x:v>
      </x:c>
      <x:c r="C39" s="27" t="str">
        <x:v>Services</x:v>
      </x:c>
      <x:c r="D39" s="27" t="str">
        <x:v>Top-level</x:v>
      </x:c>
      <x:c r="E39" s="27" t="n">
        <x:v>15</x:v>
      </x:c>
      <x:c r="F39" s="34" t="n">
        <x:v>3.81</x:v>
      </x:c>
      <x:c r="G39" s="27" t="str">
        <x:v>Commission merger decisions/activity</x:v>
      </x:c>
      <x:c r="H39" s="27" t="str">
        <x:v>S005</x:v>
      </x:c>
      <x:c r="I39" s="27" t="str">
        <x:v>4</x:v>
      </x:c>
      <x:c r="J39" s="27" t="str"/>
    </x:row>
    <x:row r="40">
      <x:c r="A40" s="27" t="str">
        <x:v>2005/06</x:v>
      </x:c>
      <x:c r="B40" s="27" t="str">
        <x:v>Other</x:v>
      </x:c>
      <x:c r="C40" s="27" t="str">
        <x:v>Other</x:v>
      </x:c>
      <x:c r="D40" s="27" t="str">
        <x:v>Top-level</x:v>
      </x:c>
      <x:c r="E40" s="27" t="n">
        <x:v>8</x:v>
      </x:c>
      <x:c r="F40" s="34" t="n">
        <x:v>2.03</x:v>
      </x:c>
      <x:c r="G40" s="27" t="str">
        <x:v>Commission merger decisions/activity</x:v>
      </x:c>
      <x:c r="H40" s="27" t="str">
        <x:v>S005</x:v>
      </x:c>
      <x:c r="I40" s="27" t="str">
        <x:v>4</x:v>
      </x:c>
      <x:c r="J40" s="27" t="str"/>
    </x:row>
    <x:row r="41">
      <x:c r="A41" s="27" t="str">
        <x:v>2006/07</x:v>
      </x:c>
      <x:c r="B41" s="27" t="str">
        <x:v>Mining</x:v>
      </x:c>
      <x:c r="C41" s="27" t="str">
        <x:v>Mining</x:v>
      </x:c>
      <x:c r="D41" s="27" t="str">
        <x:v>Top-level</x:v>
      </x:c>
      <x:c r="E41" s="27" t="n">
        <x:v>35</x:v>
      </x:c>
      <x:c r="F41" s="34" t="n">
        <x:v>9</x:v>
      </x:c>
      <x:c r="G41" s="27" t="str">
        <x:v>Commission merger decisions; excludes withdrawn/no-jurisdiction</x:v>
      </x:c>
      <x:c r="H41" s="27" t="str">
        <x:v>S006</x:v>
      </x:c>
      <x:c r="I41" s="27" t="str">
        <x:v>5</x:v>
      </x:c>
      <x:c r="J41" s="27" t="str"/>
    </x:row>
    <x:row r="42">
      <x:c r="A42" s="27" t="str">
        <x:v>2006/07</x:v>
      </x:c>
      <x:c r="B42" s="27" t="str">
        <x:v>Construction</x:v>
      </x:c>
      <x:c r="C42" s="27" t="str">
        <x:v>Construction</x:v>
      </x:c>
      <x:c r="D42" s="27" t="str">
        <x:v>Top-level</x:v>
      </x:c>
      <x:c r="E42" s="27" t="n">
        <x:v>3</x:v>
      </x:c>
      <x:c r="F42" s="34" t="n">
        <x:v>1</x:v>
      </x:c>
      <x:c r="G42" s="27" t="str">
        <x:v>Commission merger decisions; excludes withdrawn/no-jurisdiction</x:v>
      </x:c>
      <x:c r="H42" s="27" t="str">
        <x:v>S006</x:v>
      </x:c>
      <x:c r="I42" s="27" t="str">
        <x:v>5</x:v>
      </x:c>
      <x:c r="J42" s="27" t="str"/>
    </x:row>
    <x:row r="43">
      <x:c r="A43" s="27" t="str">
        <x:v>2006/07</x:v>
      </x:c>
      <x:c r="B43" s="27" t="str">
        <x:v>Financial services</x:v>
      </x:c>
      <x:c r="C43" s="27" t="str">
        <x:v>Finance</x:v>
      </x:c>
      <x:c r="D43" s="27" t="str">
        <x:v>Top-level</x:v>
      </x:c>
      <x:c r="E43" s="27" t="n">
        <x:v>26</x:v>
      </x:c>
      <x:c r="F43" s="34" t="n">
        <x:v>7</x:v>
      </x:c>
      <x:c r="G43" s="27" t="str">
        <x:v>Commission merger decisions; excludes withdrawn/no-jurisdiction</x:v>
      </x:c>
      <x:c r="H43" s="27" t="str">
        <x:v>S006</x:v>
      </x:c>
      <x:c r="I43" s="27" t="str">
        <x:v>5</x:v>
      </x:c>
      <x:c r="J43" s="27" t="str"/>
    </x:row>
    <x:row r="44">
      <x:c r="A44" s="27" t="str">
        <x:v>2006/07</x:v>
      </x:c>
      <x:c r="B44" s="27" t="str">
        <x:v>IT</x:v>
      </x:c>
      <x:c r="C44" s="27" t="str">
        <x:v>ICT</x:v>
      </x:c>
      <x:c r="D44" s="27" t="str">
        <x:v>Top-level</x:v>
      </x:c>
      <x:c r="E44" s="27" t="n">
        <x:v>17</x:v>
      </x:c>
      <x:c r="F44" s="34" t="n">
        <x:v>4</x:v>
      </x:c>
      <x:c r="G44" s="27" t="str">
        <x:v>Commission merger decisions; excludes withdrawn/no-jurisdiction</x:v>
      </x:c>
      <x:c r="H44" s="27" t="str">
        <x:v>S006</x:v>
      </x:c>
      <x:c r="I44" s="27" t="str">
        <x:v>5</x:v>
      </x:c>
      <x:c r="J44" s="27" t="str"/>
    </x:row>
    <x:row r="45">
      <x:c r="A45" s="27" t="str">
        <x:v>2006/07</x:v>
      </x:c>
      <x:c r="B45" s="27" t="str">
        <x:v>Transport</x:v>
      </x:c>
      <x:c r="C45" s="27" t="str">
        <x:v>Transport</x:v>
      </x:c>
      <x:c r="D45" s="27" t="str">
        <x:v>Top-level</x:v>
      </x:c>
      <x:c r="E45" s="27" t="n">
        <x:v>14</x:v>
      </x:c>
      <x:c r="F45" s="34" t="n">
        <x:v>4</x:v>
      </x:c>
      <x:c r="G45" s="27" t="str">
        <x:v>Commission merger decisions; excludes withdrawn/no-jurisdiction</x:v>
      </x:c>
      <x:c r="H45" s="27" t="str">
        <x:v>S006</x:v>
      </x:c>
      <x:c r="I45" s="27" t="str">
        <x:v>5</x:v>
      </x:c>
      <x:c r="J45" s="27" t="str"/>
    </x:row>
    <x:row r="46">
      <x:c r="A46" s="27" t="str">
        <x:v>2006/07</x:v>
      </x:c>
      <x:c r="B46" s="27" t="str">
        <x:v>Manufacturing</x:v>
      </x:c>
      <x:c r="C46" s="27" t="str">
        <x:v>Manufacturing</x:v>
      </x:c>
      <x:c r="D46" s="27" t="str">
        <x:v>Top-level</x:v>
      </x:c>
      <x:c r="E46" s="27" t="n">
        <x:v>104</x:v>
      </x:c>
      <x:c r="F46" s="34" t="n">
        <x:v>26</x:v>
      </x:c>
      <x:c r="G46" s="27" t="str">
        <x:v>Commission merger decisions; excludes withdrawn/no-jurisdiction</x:v>
      </x:c>
      <x:c r="H46" s="27" t="str">
        <x:v>S006</x:v>
      </x:c>
      <x:c r="I46" s="27" t="str">
        <x:v>5</x:v>
      </x:c>
      <x:c r="J46" s="27" t="str"/>
    </x:row>
    <x:row r="47">
      <x:c r="A47" s="27" t="str">
        <x:v>2006/07</x:v>
      </x:c>
      <x:c r="B47" s="27" t="str">
        <x:v>Telecommunications</x:v>
      </x:c>
      <x:c r="C47" s="27" t="str">
        <x:v>Telecommunications</x:v>
      </x:c>
      <x:c r="D47" s="27" t="str">
        <x:v>Top-level</x:v>
      </x:c>
      <x:c r="E47" s="27" t="n">
        <x:v>5</x:v>
      </x:c>
      <x:c r="F47" s="34" t="n">
        <x:v>1</x:v>
      </x:c>
      <x:c r="G47" s="27" t="str">
        <x:v>Commission merger decisions; excludes withdrawn/no-jurisdiction</x:v>
      </x:c>
      <x:c r="H47" s="27" t="str">
        <x:v>S006</x:v>
      </x:c>
      <x:c r="I47" s="27" t="str">
        <x:v>5</x:v>
      </x:c>
      <x:c r="J47" s="27" t="str"/>
    </x:row>
    <x:row r="48">
      <x:c r="A48" s="27" t="str">
        <x:v>2006/07</x:v>
      </x:c>
      <x:c r="B48" s="27" t="str">
        <x:v>Services</x:v>
      </x:c>
      <x:c r="C48" s="27" t="str">
        <x:v>Services</x:v>
      </x:c>
      <x:c r="D48" s="27" t="str">
        <x:v>Top-level</x:v>
      </x:c>
      <x:c r="E48" s="27" t="n">
        <x:v>31</x:v>
      </x:c>
      <x:c r="F48" s="34" t="n">
        <x:v>8</x:v>
      </x:c>
      <x:c r="G48" s="27" t="str">
        <x:v>Commission merger decisions; excludes withdrawn/no-jurisdiction</x:v>
      </x:c>
      <x:c r="H48" s="27" t="str">
        <x:v>S006</x:v>
      </x:c>
      <x:c r="I48" s="27" t="str">
        <x:v>5</x:v>
      </x:c>
      <x:c r="J48" s="27" t="str"/>
    </x:row>
    <x:row r="49">
      <x:c r="A49" s="27" t="str">
        <x:v>2006/07</x:v>
      </x:c>
      <x:c r="B49" s="27" t="str">
        <x:v>Real estate</x:v>
      </x:c>
      <x:c r="C49" s="27" t="str">
        <x:v>Property</x:v>
      </x:c>
      <x:c r="D49" s="27" t="str">
        <x:v>Top-level</x:v>
      </x:c>
      <x:c r="E49" s="27" t="n">
        <x:v>81</x:v>
      </x:c>
      <x:c r="F49" s="34" t="n">
        <x:v>20</x:v>
      </x:c>
      <x:c r="G49" s="27" t="str">
        <x:v>Commission merger decisions; excludes withdrawn/no-jurisdiction</x:v>
      </x:c>
      <x:c r="H49" s="27" t="str">
        <x:v>S006</x:v>
      </x:c>
      <x:c r="I49" s="27" t="str">
        <x:v>5</x:v>
      </x:c>
      <x:c r="J49" s="27" t="str"/>
    </x:row>
    <x:row r="50">
      <x:c r="A50" s="27" t="str">
        <x:v>2006/07</x:v>
      </x:c>
      <x:c r="B50" s="27" t="str">
        <x:v>Wholesale</x:v>
      </x:c>
      <x:c r="C50" s="27" t="str">
        <x:v>Wholesale</x:v>
      </x:c>
      <x:c r="D50" s="27" t="str">
        <x:v>Top-level</x:v>
      </x:c>
      <x:c r="E50" s="27" t="n">
        <x:v>39</x:v>
      </x:c>
      <x:c r="F50" s="34" t="n">
        <x:v>9</x:v>
      </x:c>
      <x:c r="G50" s="27" t="str">
        <x:v>Commission merger decisions; excludes withdrawn/no-jurisdiction</x:v>
      </x:c>
      <x:c r="H50" s="27" t="str">
        <x:v>S006</x:v>
      </x:c>
      <x:c r="I50" s="27" t="str">
        <x:v>5</x:v>
      </x:c>
      <x:c r="J50" s="27" t="str"/>
    </x:row>
    <x:row r="51">
      <x:c r="A51" s="27" t="str">
        <x:v>2006/07</x:v>
      </x:c>
      <x:c r="B51" s="27" t="str">
        <x:v>Retail</x:v>
      </x:c>
      <x:c r="C51" s="27" t="str">
        <x:v>Retail</x:v>
      </x:c>
      <x:c r="D51" s="27" t="str">
        <x:v>Top-level</x:v>
      </x:c>
      <x:c r="E51" s="27" t="n">
        <x:v>26</x:v>
      </x:c>
      <x:c r="F51" s="34" t="n">
        <x:v>7</x:v>
      </x:c>
      <x:c r="G51" s="27" t="str">
        <x:v>Commission merger decisions; excludes withdrawn/no-jurisdiction</x:v>
      </x:c>
      <x:c r="H51" s="27" t="str">
        <x:v>S006</x:v>
      </x:c>
      <x:c r="I51" s="27" t="str">
        <x:v>5</x:v>
      </x:c>
      <x:c r="J51" s="27" t="str"/>
    </x:row>
    <x:row r="52">
      <x:c r="A52" s="27" t="str">
        <x:v>2006/07</x:v>
      </x:c>
      <x:c r="B52" s="27" t="str">
        <x:v>Agriculture</x:v>
      </x:c>
      <x:c r="C52" s="27" t="str">
        <x:v>Agriculture</x:v>
      </x:c>
      <x:c r="D52" s="27" t="str">
        <x:v>Top-level</x:v>
      </x:c>
      <x:c r="E52" s="27" t="n">
        <x:v>4</x:v>
      </x:c>
      <x:c r="F52" s="34" t="n">
        <x:v>1</x:v>
      </x:c>
      <x:c r="G52" s="27" t="str">
        <x:v>Commission merger decisions; excludes withdrawn/no-jurisdiction</x:v>
      </x:c>
      <x:c r="H52" s="27" t="str">
        <x:v>S006</x:v>
      </x:c>
      <x:c r="I52" s="27" t="str">
        <x:v>5</x:v>
      </x:c>
      <x:c r="J52" s="27" t="str"/>
    </x:row>
    <x:row r="53">
      <x:c r="A53" s="27" t="str">
        <x:v>2006/07</x:v>
      </x:c>
      <x:c r="B53" s="27" t="str">
        <x:v>Hotels and restaurants</x:v>
      </x:c>
      <x:c r="C53" s="27" t="str">
        <x:v>Accommodation</x:v>
      </x:c>
      <x:c r="D53" s="27" t="str">
        <x:v>Top-level</x:v>
      </x:c>
      <x:c r="E53" s="27" t="n">
        <x:v>3</x:v>
      </x:c>
      <x:c r="F53" s="34" t="n">
        <x:v>1</x:v>
      </x:c>
      <x:c r="G53" s="27" t="str">
        <x:v>Commission merger decisions; excludes withdrawn/no-jurisdiction</x:v>
      </x:c>
      <x:c r="H53" s="27" t="str">
        <x:v>S006</x:v>
      </x:c>
      <x:c r="I53" s="27" t="str">
        <x:v>5</x:v>
      </x:c>
      <x:c r="J53" s="27" t="str"/>
    </x:row>
    <x:row r="54">
      <x:c r="A54" s="27" t="str">
        <x:v>2006/07</x:v>
      </x:c>
      <x:c r="B54" s="27" t="str">
        <x:v>Other</x:v>
      </x:c>
      <x:c r="C54" s="27" t="str">
        <x:v>Other</x:v>
      </x:c>
      <x:c r="D54" s="27" t="str">
        <x:v>Top-level</x:v>
      </x:c>
      <x:c r="E54" s="27" t="n">
        <x:v>9</x:v>
      </x:c>
      <x:c r="F54" s="34" t="n">
        <x:v>2</x:v>
      </x:c>
      <x:c r="G54" s="27" t="str">
        <x:v>Commission merger decisions; excludes withdrawn/no-jurisdiction</x:v>
      </x:c>
      <x:c r="H54" s="27" t="str">
        <x:v>S006</x:v>
      </x:c>
      <x:c r="I54" s="27" t="str">
        <x:v>5</x:v>
      </x:c>
      <x:c r="J54" s="27" t="str"/>
    </x:row>
    <x:row r="55">
      <x:c r="A55" s="27" t="str">
        <x:v>2007/08</x:v>
      </x:c>
      <x:c r="B55" s="27" t="str">
        <x:v>Manufacturing</x:v>
      </x:c>
      <x:c r="C55" s="27" t="str">
        <x:v>Manufacturing</x:v>
      </x:c>
      <x:c r="D55" s="27" t="str">
        <x:v>Top-level</x:v>
      </x:c>
      <x:c r="E55" s="27" t="str">
        <x:v>NR</x:v>
      </x:c>
      <x:c r="F55" s="34" t="n">
        <x:v>27</x:v>
      </x:c>
      <x:c r="G55" s="27" t="str">
        <x:v>Commission merger decisions/activity</x:v>
      </x:c>
      <x:c r="H55" s="27" t="str">
        <x:v>S007</x:v>
      </x:c>
      <x:c r="I55" s="27" t="str">
        <x:v>3</x:v>
      </x:c>
      <x:c r="J55" s="27" t="str"/>
    </x:row>
    <x:row r="56">
      <x:c r="A56" s="27" t="str">
        <x:v>2007/08</x:v>
      </x:c>
      <x:c r="B56" s="27" t="str">
        <x:v>Real estate</x:v>
      </x:c>
      <x:c r="C56" s="27" t="str">
        <x:v>Property</x:v>
      </x:c>
      <x:c r="D56" s="27" t="str">
        <x:v>Top-level</x:v>
      </x:c>
      <x:c r="E56" s="27" t="str">
        <x:v>NR</x:v>
      </x:c>
      <x:c r="F56" s="34" t="n">
        <x:v>19</x:v>
      </x:c>
      <x:c r="G56" s="27" t="str">
        <x:v>Commission merger decisions/activity</x:v>
      </x:c>
      <x:c r="H56" s="27" t="str">
        <x:v>S007</x:v>
      </x:c>
      <x:c r="I56" s="27" t="str">
        <x:v>3</x:v>
      </x:c>
      <x:c r="J56" s="27" t="str"/>
    </x:row>
    <x:row r="57">
      <x:c r="A57" s="27" t="str">
        <x:v>2007/08</x:v>
      </x:c>
      <x:c r="B57" s="27" t="str">
        <x:v>Services</x:v>
      </x:c>
      <x:c r="C57" s="27" t="str">
        <x:v>Services</x:v>
      </x:c>
      <x:c r="D57" s="27" t="str">
        <x:v>Top-level</x:v>
      </x:c>
      <x:c r="E57" s="27" t="str">
        <x:v>NR</x:v>
      </x:c>
      <x:c r="F57" s="34" t="n">
        <x:v>13</x:v>
      </x:c>
      <x:c r="G57" s="27" t="str">
        <x:v>Commission merger decisions/activity</x:v>
      </x:c>
      <x:c r="H57" s="27" t="str">
        <x:v>S007</x:v>
      </x:c>
      <x:c r="I57" s="27" t="str">
        <x:v>3</x:v>
      </x:c>
      <x:c r="J57" s="27" t="str"/>
    </x:row>
    <x:row r="58">
      <x:c r="A58" s="27" t="str">
        <x:v>2007/08</x:v>
      </x:c>
      <x:c r="B58" s="27" t="str">
        <x:v>Wholesale</x:v>
      </x:c>
      <x:c r="C58" s="27" t="str">
        <x:v>Wholesale</x:v>
      </x:c>
      <x:c r="D58" s="27" t="str">
        <x:v>Top-level</x:v>
      </x:c>
      <x:c r="E58" s="27" t="str">
        <x:v>NR</x:v>
      </x:c>
      <x:c r="F58" s="34" t="n">
        <x:v>7</x:v>
      </x:c>
      <x:c r="G58" s="27" t="str">
        <x:v>Commission merger decisions/activity</x:v>
      </x:c>
      <x:c r="H58" s="27" t="str">
        <x:v>S007</x:v>
      </x:c>
      <x:c r="I58" s="27" t="str">
        <x:v>3</x:v>
      </x:c>
      <x:c r="J58" s="27" t="str"/>
    </x:row>
    <x:row r="59">
      <x:c r="A59" s="27" t="str">
        <x:v>2007/08</x:v>
      </x:c>
      <x:c r="B59" s="27" t="str">
        <x:v>Retail</x:v>
      </x:c>
      <x:c r="C59" s="27" t="str">
        <x:v>Retail</x:v>
      </x:c>
      <x:c r="D59" s="27" t="str">
        <x:v>Top-level</x:v>
      </x:c>
      <x:c r="E59" s="27" t="str">
        <x:v>NR</x:v>
      </x:c>
      <x:c r="F59" s="34" t="n">
        <x:v>7</x:v>
      </x:c>
      <x:c r="G59" s="27" t="str">
        <x:v>Commission merger decisions/activity</x:v>
      </x:c>
      <x:c r="H59" s="27" t="str">
        <x:v>S007</x:v>
      </x:c>
      <x:c r="I59" s="27" t="str">
        <x:v>3</x:v>
      </x:c>
      <x:c r="J59" s="27" t="str"/>
    </x:row>
    <x:row r="60">
      <x:c r="A60" s="27" t="str">
        <x:v>2007/08</x:v>
      </x:c>
      <x:c r="B60" s="27" t="str">
        <x:v>Mining</x:v>
      </x:c>
      <x:c r="C60" s="27" t="str">
        <x:v>Mining</x:v>
      </x:c>
      <x:c r="D60" s="27" t="str">
        <x:v>Top-level</x:v>
      </x:c>
      <x:c r="E60" s="27" t="str">
        <x:v>NR</x:v>
      </x:c>
      <x:c r="F60" s="34" t="n">
        <x:v>6</x:v>
      </x:c>
      <x:c r="G60" s="27" t="str">
        <x:v>Commission merger decisions/activity</x:v>
      </x:c>
      <x:c r="H60" s="27" t="str">
        <x:v>S007</x:v>
      </x:c>
      <x:c r="I60" s="27" t="str">
        <x:v>3</x:v>
      </x:c>
      <x:c r="J60" s="27" t="str"/>
    </x:row>
    <x:row r="61">
      <x:c r="A61" s="27" t="str">
        <x:v>2007/08</x:v>
      </x:c>
      <x:c r="B61" s="27" t="str">
        <x:v>IT</x:v>
      </x:c>
      <x:c r="C61" s="27" t="str">
        <x:v>ICT</x:v>
      </x:c>
      <x:c r="D61" s="27" t="str">
        <x:v>Top-level</x:v>
      </x:c>
      <x:c r="E61" s="27" t="str">
        <x:v>NR</x:v>
      </x:c>
      <x:c r="F61" s="34" t="n">
        <x:v>5</x:v>
      </x:c>
      <x:c r="G61" s="27" t="str">
        <x:v>Commission merger decisions/activity</x:v>
      </x:c>
      <x:c r="H61" s="27" t="str">
        <x:v>S007</x:v>
      </x:c>
      <x:c r="I61" s="27" t="str">
        <x:v>3</x:v>
      </x:c>
      <x:c r="J61" s="27" t="str"/>
    </x:row>
    <x:row r="62">
      <x:c r="A62" s="27" t="str">
        <x:v>2007/08</x:v>
      </x:c>
      <x:c r="B62" s="27" t="str">
        <x:v>Financial services</x:v>
      </x:c>
      <x:c r="C62" s="27" t="str">
        <x:v>Finance</x:v>
      </x:c>
      <x:c r="D62" s="27" t="str">
        <x:v>Top-level</x:v>
      </x:c>
      <x:c r="E62" s="27" t="str">
        <x:v>NR</x:v>
      </x:c>
      <x:c r="F62" s="34" t="n">
        <x:v>4</x:v>
      </x:c>
      <x:c r="G62" s="27" t="str">
        <x:v>Commission merger decisions/activity</x:v>
      </x:c>
      <x:c r="H62" s="27" t="str">
        <x:v>S007</x:v>
      </x:c>
      <x:c r="I62" s="27" t="str">
        <x:v>3</x:v>
      </x:c>
      <x:c r="J62" s="27" t="str"/>
    </x:row>
    <x:row r="63">
      <x:c r="A63" s="27" t="str">
        <x:v>2007/08</x:v>
      </x:c>
      <x:c r="B63" s="27" t="str">
        <x:v>Transport</x:v>
      </x:c>
      <x:c r="C63" s="27" t="str">
        <x:v>Transport</x:v>
      </x:c>
      <x:c r="D63" s="27" t="str">
        <x:v>Top-level</x:v>
      </x:c>
      <x:c r="E63" s="27" t="str">
        <x:v>NR</x:v>
      </x:c>
      <x:c r="F63" s="34" t="n">
        <x:v>4</x:v>
      </x:c>
      <x:c r="G63" s="27" t="str">
        <x:v>Commission merger decisions/activity</x:v>
      </x:c>
      <x:c r="H63" s="27" t="str">
        <x:v>S007</x:v>
      </x:c>
      <x:c r="I63" s="27" t="str">
        <x:v>3</x:v>
      </x:c>
      <x:c r="J63" s="27" t="str"/>
    </x:row>
    <x:row r="64">
      <x:c r="A64" s="27" t="str">
        <x:v>2007/08</x:v>
      </x:c>
      <x:c r="B64" s="27" t="str">
        <x:v>Construction</x:v>
      </x:c>
      <x:c r="C64" s="27" t="str">
        <x:v>Construction</x:v>
      </x:c>
      <x:c r="D64" s="27" t="str">
        <x:v>Top-level</x:v>
      </x:c>
      <x:c r="E64" s="27" t="str">
        <x:v>NR</x:v>
      </x:c>
      <x:c r="F64" s="34" t="n">
        <x:v>3</x:v>
      </x:c>
      <x:c r="G64" s="27" t="str">
        <x:v>Commission merger decisions/activity</x:v>
      </x:c>
      <x:c r="H64" s="27" t="str">
        <x:v>S007</x:v>
      </x:c>
      <x:c r="I64" s="27" t="str">
        <x:v>3</x:v>
      </x:c>
      <x:c r="J64" s="27" t="str"/>
    </x:row>
    <x:row r="65">
      <x:c r="A65" s="27" t="str">
        <x:v>2007/08</x:v>
      </x:c>
      <x:c r="B65" s="27" t="str">
        <x:v>Telecommunications</x:v>
      </x:c>
      <x:c r="C65" s="27" t="str">
        <x:v>Telecommunications</x:v>
      </x:c>
      <x:c r="D65" s="27" t="str">
        <x:v>Top-level</x:v>
      </x:c>
      <x:c r="E65" s="27" t="str">
        <x:v>NR</x:v>
      </x:c>
      <x:c r="F65" s="34" t="n">
        <x:v>2</x:v>
      </x:c>
      <x:c r="G65" s="27" t="str">
        <x:v>Commission merger decisions/activity</x:v>
      </x:c>
      <x:c r="H65" s="27" t="str">
        <x:v>S007</x:v>
      </x:c>
      <x:c r="I65" s="27" t="str">
        <x:v>3</x:v>
      </x:c>
      <x:c r="J65" s="27" t="str"/>
    </x:row>
    <x:row r="66">
      <x:c r="A66" s="27" t="str">
        <x:v>2007/08</x:v>
      </x:c>
      <x:c r="B66" s="27" t="str">
        <x:v>Agriculture</x:v>
      </x:c>
      <x:c r="C66" s="27" t="str">
        <x:v>Agriculture</x:v>
      </x:c>
      <x:c r="D66" s="27" t="str">
        <x:v>Top-level</x:v>
      </x:c>
      <x:c r="E66" s="27" t="str">
        <x:v>NR</x:v>
      </x:c>
      <x:c r="F66" s="34" t="n">
        <x:v>1</x:v>
      </x:c>
      <x:c r="G66" s="27" t="str">
        <x:v>Commission merger decisions/activity</x:v>
      </x:c>
      <x:c r="H66" s="27" t="str">
        <x:v>S007</x:v>
      </x:c>
      <x:c r="I66" s="27" t="str">
        <x:v>3</x:v>
      </x:c>
      <x:c r="J66" s="27" t="str"/>
    </x:row>
    <x:row r="67">
      <x:c r="A67" s="27" t="str">
        <x:v>2007/08</x:v>
      </x:c>
      <x:c r="B67" s="27" t="str">
        <x:v>Hotels &amp; restaurants</x:v>
      </x:c>
      <x:c r="C67" s="27" t="str">
        <x:v>Accommodation</x:v>
      </x:c>
      <x:c r="D67" s="27" t="str">
        <x:v>Top-level</x:v>
      </x:c>
      <x:c r="E67" s="27" t="str">
        <x:v>NR</x:v>
      </x:c>
      <x:c r="F67" s="34" t="n">
        <x:v>1</x:v>
      </x:c>
      <x:c r="G67" s="27" t="str">
        <x:v>Commission merger decisions/activity</x:v>
      </x:c>
      <x:c r="H67" s="27" t="str">
        <x:v>S007</x:v>
      </x:c>
      <x:c r="I67" s="27" t="str">
        <x:v>3</x:v>
      </x:c>
      <x:c r="J67" s="27" t="str"/>
    </x:row>
    <x:row r="68">
      <x:c r="A68" s="27" t="str">
        <x:v>2008/09</x:v>
      </x:c>
      <x:c r="B68" s="27" t="str">
        <x:v>Manufacturing</x:v>
      </x:c>
      <x:c r="C68" s="27" t="str">
        <x:v>Manufacturing</x:v>
      </x:c>
      <x:c r="D68" s="27" t="str">
        <x:v>Top-level</x:v>
      </x:c>
      <x:c r="E68" s="27" t="str">
        <x:v>NR</x:v>
      </x:c>
      <x:c r="F68" s="34" t="n">
        <x:v>31</x:v>
      </x:c>
      <x:c r="G68" s="27" t="str">
        <x:v>Merger decisions by sector</x:v>
      </x:c>
      <x:c r="H68" s="27" t="str">
        <x:v>S008</x:v>
      </x:c>
      <x:c r="I68" s="27" t="str">
        <x:v>2</x:v>
      </x:c>
      <x:c r="J68" s="27" t="str"/>
    </x:row>
    <x:row r="69">
      <x:c r="A69" s="27" t="str">
        <x:v>2008/09</x:v>
      </x:c>
      <x:c r="B69" s="27" t="str">
        <x:v>Property</x:v>
      </x:c>
      <x:c r="C69" s="27" t="str">
        <x:v>Property</x:v>
      </x:c>
      <x:c r="D69" s="27" t="str">
        <x:v>Top-level</x:v>
      </x:c>
      <x:c r="E69" s="27" t="str">
        <x:v>NR</x:v>
      </x:c>
      <x:c r="F69" s="34" t="n">
        <x:v>16</x:v>
      </x:c>
      <x:c r="G69" s="27" t="str">
        <x:v>Merger decisions by sector</x:v>
      </x:c>
      <x:c r="H69" s="27" t="str">
        <x:v>S008</x:v>
      </x:c>
      <x:c r="I69" s="27" t="str">
        <x:v>2</x:v>
      </x:c>
      <x:c r="J69" s="27" t="str"/>
    </x:row>
    <x:row r="70">
      <x:c r="A70" s="27" t="str">
        <x:v>2008/09</x:v>
      </x:c>
      <x:c r="B70" s="27" t="str">
        <x:v>Other</x:v>
      </x:c>
      <x:c r="C70" s="27" t="str">
        <x:v>Other</x:v>
      </x:c>
      <x:c r="D70" s="27" t="str">
        <x:v>Top-level</x:v>
      </x:c>
      <x:c r="E70" s="27" t="str">
        <x:v>NR</x:v>
      </x:c>
      <x:c r="F70" s="34" t="n">
        <x:v>14</x:v>
      </x:c>
      <x:c r="G70" s="27" t="str">
        <x:v>Merger decisions by sector</x:v>
      </x:c>
      <x:c r="H70" s="27" t="str">
        <x:v>S008</x:v>
      </x:c>
      <x:c r="I70" s="27" t="str">
        <x:v>2</x:v>
      </x:c>
      <x:c r="J70" s="27" t="str"/>
    </x:row>
    <x:row r="71">
      <x:c r="A71" s="27" t="str">
        <x:v>2008/09</x:v>
      </x:c>
      <x:c r="B71" s="27" t="str">
        <x:v>Mining</x:v>
      </x:c>
      <x:c r="C71" s="27" t="str">
        <x:v>Mining</x:v>
      </x:c>
      <x:c r="D71" s="27" t="str">
        <x:v>Top-level</x:v>
      </x:c>
      <x:c r="E71" s="27" t="str">
        <x:v>NR</x:v>
      </x:c>
      <x:c r="F71" s="34" t="n">
        <x:v>7</x:v>
      </x:c>
      <x:c r="G71" s="27" t="str">
        <x:v>Merger decisions by sector</x:v>
      </x:c>
      <x:c r="H71" s="27" t="str">
        <x:v>S008</x:v>
      </x:c>
      <x:c r="I71" s="27" t="str">
        <x:v>2</x:v>
      </x:c>
      <x:c r="J71" s="27" t="str"/>
    </x:row>
    <x:row r="72">
      <x:c r="A72" s="27" t="str">
        <x:v>2008/09</x:v>
      </x:c>
      <x:c r="B72" s="27" t="str">
        <x:v>Construction</x:v>
      </x:c>
      <x:c r="C72" s="27" t="str">
        <x:v>Construction</x:v>
      </x:c>
      <x:c r="D72" s="27" t="str">
        <x:v>Top-level</x:v>
      </x:c>
      <x:c r="E72" s="27" t="str">
        <x:v>NR</x:v>
      </x:c>
      <x:c r="F72" s="34" t="n">
        <x:v>5</x:v>
      </x:c>
      <x:c r="G72" s="27" t="str">
        <x:v>Merger decisions by sector</x:v>
      </x:c>
      <x:c r="H72" s="27" t="str">
        <x:v>S008</x:v>
      </x:c>
      <x:c r="I72" s="27" t="str">
        <x:v>2</x:v>
      </x:c>
      <x:c r="J72" s="27" t="str"/>
    </x:row>
    <x:row r="73">
      <x:c r="A73" s="27" t="str">
        <x:v>2008/09</x:v>
      </x:c>
      <x:c r="B73" s="27" t="str">
        <x:v>Financial</x:v>
      </x:c>
      <x:c r="C73" s="27" t="str">
        <x:v>Finance</x:v>
      </x:c>
      <x:c r="D73" s="27" t="str">
        <x:v>Top-level</x:v>
      </x:c>
      <x:c r="E73" s="27" t="str">
        <x:v>NR</x:v>
      </x:c>
      <x:c r="F73" s="34" t="n">
        <x:v>5</x:v>
      </x:c>
      <x:c r="G73" s="27" t="str">
        <x:v>Merger decisions by sector</x:v>
      </x:c>
      <x:c r="H73" s="27" t="str">
        <x:v>S008</x:v>
      </x:c>
      <x:c r="I73" s="27" t="str">
        <x:v>2</x:v>
      </x:c>
      <x:c r="J73" s="27" t="str"/>
    </x:row>
    <x:row r="74">
      <x:c r="A74" s="27" t="str">
        <x:v>2008/09</x:v>
      </x:c>
      <x:c r="B74" s="27" t="str">
        <x:v>Wholesale</x:v>
      </x:c>
      <x:c r="C74" s="27" t="str">
        <x:v>Wholesale</x:v>
      </x:c>
      <x:c r="D74" s="27" t="str">
        <x:v>Top-level</x:v>
      </x:c>
      <x:c r="E74" s="27" t="str">
        <x:v>NR</x:v>
      </x:c>
      <x:c r="F74" s="34" t="n">
        <x:v>5</x:v>
      </x:c>
      <x:c r="G74" s="27" t="str">
        <x:v>Merger decisions by sector</x:v>
      </x:c>
      <x:c r="H74" s="27" t="str">
        <x:v>S008</x:v>
      </x:c>
      <x:c r="I74" s="27" t="str">
        <x:v>2</x:v>
      </x:c>
      <x:c r="J74" s="27" t="str"/>
    </x:row>
    <x:row r="75">
      <x:c r="A75" s="27" t="str">
        <x:v>2008/09</x:v>
      </x:c>
      <x:c r="B75" s="27" t="str">
        <x:v>Retail</x:v>
      </x:c>
      <x:c r="C75" s="27" t="str">
        <x:v>Retail</x:v>
      </x:c>
      <x:c r="D75" s="27" t="str">
        <x:v>Top-level</x:v>
      </x:c>
      <x:c r="E75" s="27" t="str">
        <x:v>NR</x:v>
      </x:c>
      <x:c r="F75" s="34" t="n">
        <x:v>5</x:v>
      </x:c>
      <x:c r="G75" s="27" t="str">
        <x:v>Merger decisions by sector</x:v>
      </x:c>
      <x:c r="H75" s="27" t="str">
        <x:v>S008</x:v>
      </x:c>
      <x:c r="I75" s="27" t="str">
        <x:v>2</x:v>
      </x:c>
      <x:c r="J75" s="27" t="str"/>
    </x:row>
    <x:row r="76">
      <x:c r="A76" s="27" t="str">
        <x:v>2008/09</x:v>
      </x:c>
      <x:c r="B76" s="27" t="str">
        <x:v>Telecommunications</x:v>
      </x:c>
      <x:c r="C76" s="27" t="str">
        <x:v>Telecommunications</x:v>
      </x:c>
      <x:c r="D76" s="27" t="str">
        <x:v>Top-level</x:v>
      </x:c>
      <x:c r="E76" s="27" t="str">
        <x:v>NR</x:v>
      </x:c>
      <x:c r="F76" s="34" t="n">
        <x:v>4</x:v>
      </x:c>
      <x:c r="G76" s="27" t="str">
        <x:v>Merger decisions by sector</x:v>
      </x:c>
      <x:c r="H76" s="27" t="str">
        <x:v>S008</x:v>
      </x:c>
      <x:c r="I76" s="27" t="str">
        <x:v>2</x:v>
      </x:c>
      <x:c r="J76" s="27" t="str"/>
    </x:row>
    <x:row r="77">
      <x:c r="A77" s="27" t="str">
        <x:v>2008/09</x:v>
      </x:c>
      <x:c r="B77" s="27" t="str">
        <x:v>Transport</x:v>
      </x:c>
      <x:c r="C77" s="27" t="str">
        <x:v>Transport</x:v>
      </x:c>
      <x:c r="D77" s="27" t="str">
        <x:v>Top-level</x:v>
      </x:c>
      <x:c r="E77" s="27" t="str">
        <x:v>NR</x:v>
      </x:c>
      <x:c r="F77" s="34" t="n">
        <x:v>4</x:v>
      </x:c>
      <x:c r="G77" s="27" t="str">
        <x:v>Merger decisions by sector</x:v>
      </x:c>
      <x:c r="H77" s="27" t="str">
        <x:v>S008</x:v>
      </x:c>
      <x:c r="I77" s="27" t="str">
        <x:v>2</x:v>
      </x:c>
      <x:c r="J77" s="27" t="str"/>
    </x:row>
    <x:row r="78">
      <x:c r="A78" s="27" t="str">
        <x:v>2008/09</x:v>
      </x:c>
      <x:c r="B78" s="27" t="str">
        <x:v>IT</x:v>
      </x:c>
      <x:c r="C78" s="27" t="str">
        <x:v>ICT</x:v>
      </x:c>
      <x:c r="D78" s="27" t="str">
        <x:v>Top-level</x:v>
      </x:c>
      <x:c r="E78" s="27" t="str">
        <x:v>NR</x:v>
      </x:c>
      <x:c r="F78" s="34" t="n">
        <x:v>2</x:v>
      </x:c>
      <x:c r="G78" s="27" t="str">
        <x:v>Merger decisions by sector</x:v>
      </x:c>
      <x:c r="H78" s="27" t="str">
        <x:v>S008</x:v>
      </x:c>
      <x:c r="I78" s="27" t="str">
        <x:v>2</x:v>
      </x:c>
      <x:c r="J78" s="27" t="str"/>
    </x:row>
    <x:row r="79">
      <x:c r="A79" s="27" t="str">
        <x:v>2008/09</x:v>
      </x:c>
      <x:c r="B79" s="27" t="str">
        <x:v>Hotels &amp; Restaurants</x:v>
      </x:c>
      <x:c r="C79" s="27" t="str">
        <x:v>Accommodation</x:v>
      </x:c>
      <x:c r="D79" s="27" t="str">
        <x:v>Top-level</x:v>
      </x:c>
      <x:c r="E79" s="27" t="str">
        <x:v>NR</x:v>
      </x:c>
      <x:c r="F79" s="34" t="n">
        <x:v>2</x:v>
      </x:c>
      <x:c r="G79" s="27" t="str">
        <x:v>Merger decisions by sector</x:v>
      </x:c>
      <x:c r="H79" s="27" t="str">
        <x:v>S008</x:v>
      </x:c>
      <x:c r="I79" s="27" t="str">
        <x:v>2</x:v>
      </x:c>
      <x:c r="J79" s="27" t="str"/>
    </x:row>
    <x:row r="80">
      <x:c r="A80" s="27" t="str">
        <x:v>2008/09</x:v>
      </x:c>
      <x:c r="B80" s="27" t="str">
        <x:v>Agriculture</x:v>
      </x:c>
      <x:c r="C80" s="27" t="str">
        <x:v>Agriculture</x:v>
      </x:c>
      <x:c r="D80" s="27" t="str">
        <x:v>Top-level</x:v>
      </x:c>
      <x:c r="E80" s="27" t="str">
        <x:v>NR</x:v>
      </x:c>
      <x:c r="F80" s="34" t="n">
        <x:v>0</x:v>
      </x:c>
      <x:c r="G80" s="27" t="str">
        <x:v>Merger decisions by sector</x:v>
      </x:c>
      <x:c r="H80" s="27" t="str">
        <x:v>S008</x:v>
      </x:c>
      <x:c r="I80" s="27" t="str">
        <x:v>2</x:v>
      </x:c>
      <x:c r="J80" s="27" t="str"/>
    </x:row>
    <x:row r="81">
      <x:c r="A81" s="27" t="str">
        <x:v>2011/12</x:v>
      </x:c>
      <x:c r="B81" s="27" t="str">
        <x:v>Manufacturing</x:v>
      </x:c>
      <x:c r="C81" s="27" t="str">
        <x:v>Manufacturing</x:v>
      </x:c>
      <x:c r="D81" s="27" t="str">
        <x:v>Top-level</x:v>
      </x:c>
      <x:c r="E81" s="27" t="str">
        <x:v>NR</x:v>
      </x:c>
      <x:c r="F81" s="34" t="n">
        <x:v>29</x:v>
      </x:c>
      <x:c r="G81" s="27" t="str">
        <x:v>Merger decisions by sector</x:v>
      </x:c>
      <x:c r="H81" s="27" t="str">
        <x:v>S011</x:v>
      </x:c>
      <x:c r="I81" s="27" t="str">
        <x:v>2</x:v>
      </x:c>
      <x:c r="J81" s="27" t="str"/>
    </x:row>
    <x:row r="82">
      <x:c r="A82" s="27" t="str">
        <x:v>2011/12</x:v>
      </x:c>
      <x:c r="B82" s="27" t="str">
        <x:v>Property</x:v>
      </x:c>
      <x:c r="C82" s="27" t="str">
        <x:v>Property</x:v>
      </x:c>
      <x:c r="D82" s="27" t="str">
        <x:v>Top-level</x:v>
      </x:c>
      <x:c r="E82" s="27" t="str">
        <x:v>NR</x:v>
      </x:c>
      <x:c r="F82" s="34" t="n">
        <x:v>20</x:v>
      </x:c>
      <x:c r="G82" s="27" t="str">
        <x:v>Merger decisions by sector</x:v>
      </x:c>
      <x:c r="H82" s="27" t="str">
        <x:v>S011</x:v>
      </x:c>
      <x:c r="I82" s="27" t="str">
        <x:v>2</x:v>
      </x:c>
      <x:c r="J82" s="27" t="str"/>
    </x:row>
    <x:row r="83">
      <x:c r="A83" s="27" t="str">
        <x:v>2011/12</x:v>
      </x:c>
      <x:c r="B83" s="27" t="str">
        <x:v>Mining</x:v>
      </x:c>
      <x:c r="C83" s="27" t="str">
        <x:v>Mining</x:v>
      </x:c>
      <x:c r="D83" s="27" t="str">
        <x:v>Top-level</x:v>
      </x:c>
      <x:c r="E83" s="27" t="str">
        <x:v>NR</x:v>
      </x:c>
      <x:c r="F83" s="34" t="n">
        <x:v>12</x:v>
      </x:c>
      <x:c r="G83" s="27" t="str">
        <x:v>Merger decisions by sector</x:v>
      </x:c>
      <x:c r="H83" s="27" t="str">
        <x:v>S011</x:v>
      </x:c>
      <x:c r="I83" s="27" t="str">
        <x:v>2</x:v>
      </x:c>
      <x:c r="J83" s="27" t="str"/>
    </x:row>
    <x:row r="84">
      <x:c r="A84" s="27" t="str">
        <x:v>2011/12</x:v>
      </x:c>
      <x:c r="B84" s="27" t="str">
        <x:v>Retail</x:v>
      </x:c>
      <x:c r="C84" s="27" t="str">
        <x:v>Retail</x:v>
      </x:c>
      <x:c r="D84" s="27" t="str">
        <x:v>Top-level</x:v>
      </x:c>
      <x:c r="E84" s="27" t="str">
        <x:v>NR</x:v>
      </x:c>
      <x:c r="F84" s="34" t="n">
        <x:v>9</x:v>
      </x:c>
      <x:c r="G84" s="27" t="str">
        <x:v>Merger decisions by sector</x:v>
      </x:c>
      <x:c r="H84" s="27" t="str">
        <x:v>S011</x:v>
      </x:c>
      <x:c r="I84" s="27" t="str">
        <x:v>2</x:v>
      </x:c>
      <x:c r="J84" s="27" t="str"/>
    </x:row>
    <x:row r="85">
      <x:c r="A85" s="27" t="str">
        <x:v>2011/12</x:v>
      </x:c>
      <x:c r="B85" s="27" t="str">
        <x:v>Wholesale</x:v>
      </x:c>
      <x:c r="C85" s="27" t="str">
        <x:v>Wholesale</x:v>
      </x:c>
      <x:c r="D85" s="27" t="str">
        <x:v>Top-level</x:v>
      </x:c>
      <x:c r="E85" s="27" t="str">
        <x:v>NR</x:v>
      </x:c>
      <x:c r="F85" s="34" t="n">
        <x:v>5</x:v>
      </x:c>
      <x:c r="G85" s="27" t="str">
        <x:v>Merger decisions by sector</x:v>
      </x:c>
      <x:c r="H85" s="27" t="str">
        <x:v>S011</x:v>
      </x:c>
      <x:c r="I85" s="27" t="str">
        <x:v>2</x:v>
      </x:c>
      <x:c r="J85" s="27" t="str"/>
    </x:row>
    <x:row r="86">
      <x:c r="A86" s="27" t="str">
        <x:v>2011/12</x:v>
      </x:c>
      <x:c r="B86" s="27" t="str">
        <x:v>Agriculture</x:v>
      </x:c>
      <x:c r="C86" s="27" t="str">
        <x:v>Agriculture</x:v>
      </x:c>
      <x:c r="D86" s="27" t="str">
        <x:v>Top-level</x:v>
      </x:c>
      <x:c r="E86" s="27" t="str">
        <x:v>NR</x:v>
      </x:c>
      <x:c r="F86" s="34" t="n">
        <x:v>4</x:v>
      </x:c>
      <x:c r="G86" s="27" t="str">
        <x:v>Merger decisions by sector</x:v>
      </x:c>
      <x:c r="H86" s="27" t="str">
        <x:v>S011</x:v>
      </x:c>
      <x:c r="I86" s="27" t="str">
        <x:v>2</x:v>
      </x:c>
      <x:c r="J86" s="27" t="str"/>
    </x:row>
    <x:row r="87">
      <x:c r="A87" s="27" t="str">
        <x:v>2011/12</x:v>
      </x:c>
      <x:c r="B87" s="27" t="str">
        <x:v>Telecommunications</x:v>
      </x:c>
      <x:c r="C87" s="27" t="str">
        <x:v>Telecommunications</x:v>
      </x:c>
      <x:c r="D87" s="27" t="str">
        <x:v>Top-level</x:v>
      </x:c>
      <x:c r="E87" s="27" t="str">
        <x:v>NR</x:v>
      </x:c>
      <x:c r="F87" s="34" t="n">
        <x:v>2</x:v>
      </x:c>
      <x:c r="G87" s="27" t="str">
        <x:v>Merger decisions by sector</x:v>
      </x:c>
      <x:c r="H87" s="27" t="str">
        <x:v>S011</x:v>
      </x:c>
      <x:c r="I87" s="27" t="str">
        <x:v>2</x:v>
      </x:c>
      <x:c r="J87" s="27" t="str"/>
    </x:row>
    <x:row r="88">
      <x:c r="A88" s="27" t="str">
        <x:v>2011/12</x:v>
      </x:c>
      <x:c r="B88" s="27" t="str">
        <x:v>IT</x:v>
      </x:c>
      <x:c r="C88" s="27" t="str">
        <x:v>ICT</x:v>
      </x:c>
      <x:c r="D88" s="27" t="str">
        <x:v>Top-level</x:v>
      </x:c>
      <x:c r="E88" s="27" t="str">
        <x:v>NR</x:v>
      </x:c>
      <x:c r="F88" s="34" t="n">
        <x:v>2</x:v>
      </x:c>
      <x:c r="G88" s="27" t="str">
        <x:v>Merger decisions by sector</x:v>
      </x:c>
      <x:c r="H88" s="27" t="str">
        <x:v>S011</x:v>
      </x:c>
      <x:c r="I88" s="27" t="str">
        <x:v>2</x:v>
      </x:c>
      <x:c r="J88" s="27" t="str"/>
    </x:row>
    <x:row r="89">
      <x:c r="A89" s="27" t="str">
        <x:v>2011/12</x:v>
      </x:c>
      <x:c r="B89" s="27" t="str">
        <x:v>Financial</x:v>
      </x:c>
      <x:c r="C89" s="27" t="str">
        <x:v>Finance</x:v>
      </x:c>
      <x:c r="D89" s="27" t="str">
        <x:v>Top-level</x:v>
      </x:c>
      <x:c r="E89" s="27" t="str">
        <x:v>NR</x:v>
      </x:c>
      <x:c r="F89" s="34" t="n">
        <x:v>2</x:v>
      </x:c>
      <x:c r="G89" s="27" t="str">
        <x:v>Merger decisions by sector</x:v>
      </x:c>
      <x:c r="H89" s="27" t="str">
        <x:v>S011</x:v>
      </x:c>
      <x:c r="I89" s="27" t="str">
        <x:v>2</x:v>
      </x:c>
      <x:c r="J89" s="27" t="str"/>
    </x:row>
    <x:row r="90">
      <x:c r="A90" s="27" t="str">
        <x:v>2011/12</x:v>
      </x:c>
      <x:c r="B90" s="27" t="str">
        <x:v>Hotels &amp; Restaurant</x:v>
      </x:c>
      <x:c r="C90" s="27" t="str">
        <x:v>Accommodation</x:v>
      </x:c>
      <x:c r="D90" s="27" t="str">
        <x:v>Top-level</x:v>
      </x:c>
      <x:c r="E90" s="27" t="str">
        <x:v>NR</x:v>
      </x:c>
      <x:c r="F90" s="34" t="n">
        <x:v>2</x:v>
      </x:c>
      <x:c r="G90" s="27" t="str">
        <x:v>Merger decisions by sector</x:v>
      </x:c>
      <x:c r="H90" s="27" t="str">
        <x:v>S011</x:v>
      </x:c>
      <x:c r="I90" s="27" t="str">
        <x:v>2</x:v>
      </x:c>
      <x:c r="J90" s="27" t="str"/>
    </x:row>
    <x:row r="91">
      <x:c r="A91" s="27" t="str">
        <x:v>2011/12</x:v>
      </x:c>
      <x:c r="B91" s="27" t="str">
        <x:v>Transport</x:v>
      </x:c>
      <x:c r="C91" s="27" t="str">
        <x:v>Transport</x:v>
      </x:c>
      <x:c r="D91" s="27" t="str">
        <x:v>Top-level</x:v>
      </x:c>
      <x:c r="E91" s="27" t="str">
        <x:v>NR</x:v>
      </x:c>
      <x:c r="F91" s="34" t="n">
        <x:v>1</x:v>
      </x:c>
      <x:c r="G91" s="27" t="str">
        <x:v>Merger decisions by sector</x:v>
      </x:c>
      <x:c r="H91" s="27" t="str">
        <x:v>S011</x:v>
      </x:c>
      <x:c r="I91" s="27" t="str">
        <x:v>2</x:v>
      </x:c>
      <x:c r="J91" s="27" t="str"/>
    </x:row>
    <x:row r="92">
      <x:c r="A92" s="27" t="str">
        <x:v>2011/12</x:v>
      </x:c>
      <x:c r="B92" s="27" t="str">
        <x:v>Construction</x:v>
      </x:c>
      <x:c r="C92" s="27" t="str">
        <x:v>Construction</x:v>
      </x:c>
      <x:c r="D92" s="27" t="str">
        <x:v>Top-level</x:v>
      </x:c>
      <x:c r="E92" s="27" t="str">
        <x:v>NR</x:v>
      </x:c>
      <x:c r="F92" s="34" t="n">
        <x:v>0</x:v>
      </x:c>
      <x:c r="G92" s="27" t="str">
        <x:v>Merger decisions by sector</x:v>
      </x:c>
      <x:c r="H92" s="27" t="str">
        <x:v>S011</x:v>
      </x:c>
      <x:c r="I92" s="27" t="str">
        <x:v>2</x:v>
      </x:c>
      <x:c r="J92" s="27" t="str"/>
    </x:row>
    <x:row r="93">
      <x:c r="A93" s="27" t="str">
        <x:v>2011/12</x:v>
      </x:c>
      <x:c r="B93" s="27" t="str">
        <x:v>Other</x:v>
      </x:c>
      <x:c r="C93" s="27" t="str">
        <x:v>Other</x:v>
      </x:c>
      <x:c r="D93" s="27" t="str">
        <x:v>Top-level</x:v>
      </x:c>
      <x:c r="E93" s="27" t="str">
        <x:v>NR</x:v>
      </x:c>
      <x:c r="F93" s="34" t="n">
        <x:v>12</x:v>
      </x:c>
      <x:c r="G93" s="27" t="str">
        <x:v>Merger decisions by sector</x:v>
      </x:c>
      <x:c r="H93" s="27" t="str">
        <x:v>S011</x:v>
      </x:c>
      <x:c r="I93" s="27" t="str">
        <x:v>2</x:v>
      </x:c>
      <x:c r="J93" s="27" t="str"/>
    </x:row>
    <x:row r="94">
      <x:c r="A94" s="27" t="str">
        <x:v>2012/13</x:v>
      </x:c>
      <x:c r="B94" s="27" t="str">
        <x:v>Property</x:v>
      </x:c>
      <x:c r="C94" s="27" t="str">
        <x:v>Property</x:v>
      </x:c>
      <x:c r="D94" s="27" t="str">
        <x:v>Top-level</x:v>
      </x:c>
      <x:c r="E94" s="27" t="str">
        <x:v>NR</x:v>
      </x:c>
      <x:c r="F94" s="34" t="n">
        <x:v>27</x:v>
      </x:c>
      <x:c r="G94" s="27" t="str">
        <x:v>Merger decisions by sector</x:v>
      </x:c>
      <x:c r="H94" s="27" t="str">
        <x:v>S012</x:v>
      </x:c>
      <x:c r="I94" s="27" t="str">
        <x:v>2</x:v>
      </x:c>
      <x:c r="J94" s="27" t="str"/>
    </x:row>
    <x:row r="95">
      <x:c r="A95" s="27" t="str">
        <x:v>2012/13</x:v>
      </x:c>
      <x:c r="B95" s="27" t="str">
        <x:v>Manufacturing</x:v>
      </x:c>
      <x:c r="C95" s="27" t="str">
        <x:v>Manufacturing</x:v>
      </x:c>
      <x:c r="D95" s="27" t="str">
        <x:v>Top-level</x:v>
      </x:c>
      <x:c r="E95" s="27" t="str">
        <x:v>NR</x:v>
      </x:c>
      <x:c r="F95" s="34" t="n">
        <x:v>23</x:v>
      </x:c>
      <x:c r="G95" s="27" t="str">
        <x:v>Merger decisions by sector</x:v>
      </x:c>
      <x:c r="H95" s="27" t="str">
        <x:v>S012</x:v>
      </x:c>
      <x:c r="I95" s="27" t="str">
        <x:v>2</x:v>
      </x:c>
      <x:c r="J95" s="27" t="str"/>
    </x:row>
    <x:row r="96">
      <x:c r="A96" s="27" t="str">
        <x:v>2012/13</x:v>
      </x:c>
      <x:c r="B96" s="27" t="str">
        <x:v>Other</x:v>
      </x:c>
      <x:c r="C96" s="27" t="str">
        <x:v>Other</x:v>
      </x:c>
      <x:c r="D96" s="27" t="str">
        <x:v>Top-level</x:v>
      </x:c>
      <x:c r="E96" s="27" t="str">
        <x:v>NR</x:v>
      </x:c>
      <x:c r="F96" s="34" t="n">
        <x:v>14</x:v>
      </x:c>
      <x:c r="G96" s="27" t="str">
        <x:v>Merger decisions by sector</x:v>
      </x:c>
      <x:c r="H96" s="27" t="str">
        <x:v>S012</x:v>
      </x:c>
      <x:c r="I96" s="27" t="str">
        <x:v>2</x:v>
      </x:c>
      <x:c r="J96" s="27" t="str"/>
    </x:row>
    <x:row r="97">
      <x:c r="A97" s="27" t="str">
        <x:v>2012/13</x:v>
      </x:c>
      <x:c r="B97" s="27" t="str">
        <x:v>Retail</x:v>
      </x:c>
      <x:c r="C97" s="27" t="str">
        <x:v>Retail</x:v>
      </x:c>
      <x:c r="D97" s="27" t="str">
        <x:v>Top-level</x:v>
      </x:c>
      <x:c r="E97" s="27" t="str">
        <x:v>NR</x:v>
      </x:c>
      <x:c r="F97" s="34" t="n">
        <x:v>8</x:v>
      </x:c>
      <x:c r="G97" s="27" t="str">
        <x:v>Merger decisions by sector</x:v>
      </x:c>
      <x:c r="H97" s="27" t="str">
        <x:v>S012</x:v>
      </x:c>
      <x:c r="I97" s="27" t="str">
        <x:v>2</x:v>
      </x:c>
      <x:c r="J97" s="27" t="str"/>
    </x:row>
    <x:row r="98">
      <x:c r="A98" s="27" t="str">
        <x:v>2012/13</x:v>
      </x:c>
      <x:c r="B98" s="27" t="str">
        <x:v>Mining</x:v>
      </x:c>
      <x:c r="C98" s="27" t="str">
        <x:v>Mining</x:v>
      </x:c>
      <x:c r="D98" s="27" t="str">
        <x:v>Top-level</x:v>
      </x:c>
      <x:c r="E98" s="27" t="str">
        <x:v>NR</x:v>
      </x:c>
      <x:c r="F98" s="34" t="n">
        <x:v>7</x:v>
      </x:c>
      <x:c r="G98" s="27" t="str">
        <x:v>Merger decisions by sector</x:v>
      </x:c>
      <x:c r="H98" s="27" t="str">
        <x:v>S012</x:v>
      </x:c>
      <x:c r="I98" s="27" t="str">
        <x:v>2</x:v>
      </x:c>
      <x:c r="J98" s="27" t="str"/>
    </x:row>
    <x:row r="99">
      <x:c r="A99" s="27" t="str">
        <x:v>2012/13</x:v>
      </x:c>
      <x:c r="B99" s="27" t="str">
        <x:v>Transport</x:v>
      </x:c>
      <x:c r="C99" s="27" t="str">
        <x:v>Transport</x:v>
      </x:c>
      <x:c r="D99" s="27" t="str">
        <x:v>Top-level</x:v>
      </x:c>
      <x:c r="E99" s="27" t="str">
        <x:v>NR</x:v>
      </x:c>
      <x:c r="F99" s="34" t="n">
        <x:v>6</x:v>
      </x:c>
      <x:c r="G99" s="27" t="str">
        <x:v>Merger decisions by sector</x:v>
      </x:c>
      <x:c r="H99" s="27" t="str">
        <x:v>S012</x:v>
      </x:c>
      <x:c r="I99" s="27" t="str">
        <x:v>2</x:v>
      </x:c>
      <x:c r="J99" s="27" t="str"/>
    </x:row>
    <x:row r="100">
      <x:c r="A100" s="27" t="str">
        <x:v>2012/13</x:v>
      </x:c>
      <x:c r="B100" s="27" t="str">
        <x:v>Financial</x:v>
      </x:c>
      <x:c r="C100" s="27" t="str">
        <x:v>Finance</x:v>
      </x:c>
      <x:c r="D100" s="27" t="str">
        <x:v>Top-level</x:v>
      </x:c>
      <x:c r="E100" s="27" t="str">
        <x:v>NR</x:v>
      </x:c>
      <x:c r="F100" s="34" t="n">
        <x:v>4</x:v>
      </x:c>
      <x:c r="G100" s="27" t="str">
        <x:v>Merger decisions by sector</x:v>
      </x:c>
      <x:c r="H100" s="27" t="str">
        <x:v>S012</x:v>
      </x:c>
      <x:c r="I100" s="27" t="str">
        <x:v>2</x:v>
      </x:c>
      <x:c r="J100" s="27" t="str"/>
    </x:row>
    <x:row r="101">
      <x:c r="A101" s="27" t="str">
        <x:v>2012/13</x:v>
      </x:c>
      <x:c r="B101" s="27" t="str">
        <x:v>Wholesale</x:v>
      </x:c>
      <x:c r="C101" s="27" t="str">
        <x:v>Wholesale</x:v>
      </x:c>
      <x:c r="D101" s="27" t="str">
        <x:v>Top-level</x:v>
      </x:c>
      <x:c r="E101" s="27" t="str">
        <x:v>NR</x:v>
      </x:c>
      <x:c r="F101" s="34" t="n">
        <x:v>3</x:v>
      </x:c>
      <x:c r="G101" s="27" t="str">
        <x:v>Merger decisions by sector</x:v>
      </x:c>
      <x:c r="H101" s="27" t="str">
        <x:v>S012</x:v>
      </x:c>
      <x:c r="I101" s="27" t="str">
        <x:v>2</x:v>
      </x:c>
      <x:c r="J101" s="27" t="str"/>
    </x:row>
    <x:row r="102">
      <x:c r="A102" s="27" t="str">
        <x:v>2012/13</x:v>
      </x:c>
      <x:c r="B102" s="27" t="str">
        <x:v>IT</x:v>
      </x:c>
      <x:c r="C102" s="27" t="str">
        <x:v>ICT</x:v>
      </x:c>
      <x:c r="D102" s="27" t="str">
        <x:v>Top-level</x:v>
      </x:c>
      <x:c r="E102" s="27" t="str">
        <x:v>NR</x:v>
      </x:c>
      <x:c r="F102" s="34" t="n">
        <x:v>2</x:v>
      </x:c>
      <x:c r="G102" s="27" t="str">
        <x:v>Merger decisions by sector</x:v>
      </x:c>
      <x:c r="H102" s="27" t="str">
        <x:v>S012</x:v>
      </x:c>
      <x:c r="I102" s="27" t="str">
        <x:v>2</x:v>
      </x:c>
      <x:c r="J102" s="27" t="str"/>
    </x:row>
    <x:row r="103">
      <x:c r="A103" s="27" t="str">
        <x:v>2012/13</x:v>
      </x:c>
      <x:c r="B103" s="27" t="str">
        <x:v>Agriculture</x:v>
      </x:c>
      <x:c r="C103" s="27" t="str">
        <x:v>Agriculture</x:v>
      </x:c>
      <x:c r="D103" s="27" t="str">
        <x:v>Top-level</x:v>
      </x:c>
      <x:c r="E103" s="27" t="str">
        <x:v>NR</x:v>
      </x:c>
      <x:c r="F103" s="34" t="n">
        <x:v>2</x:v>
      </x:c>
      <x:c r="G103" s="27" t="str">
        <x:v>Merger decisions by sector</x:v>
      </x:c>
      <x:c r="H103" s="27" t="str">
        <x:v>S012</x:v>
      </x:c>
      <x:c r="I103" s="27" t="str">
        <x:v>2</x:v>
      </x:c>
      <x:c r="J103" s="27" t="str"/>
    </x:row>
    <x:row r="104">
      <x:c r="A104" s="27" t="str">
        <x:v>2012/13</x:v>
      </x:c>
      <x:c r="B104" s="27" t="str">
        <x:v>Construction</x:v>
      </x:c>
      <x:c r="C104" s="27" t="str">
        <x:v>Construction</x:v>
      </x:c>
      <x:c r="D104" s="27" t="str">
        <x:v>Top-level</x:v>
      </x:c>
      <x:c r="E104" s="27" t="str">
        <x:v>NR</x:v>
      </x:c>
      <x:c r="F104" s="34" t="n">
        <x:v>2</x:v>
      </x:c>
      <x:c r="G104" s="27" t="str">
        <x:v>Merger decisions by sector</x:v>
      </x:c>
      <x:c r="H104" s="27" t="str">
        <x:v>S012</x:v>
      </x:c>
      <x:c r="I104" s="27" t="str">
        <x:v>2</x:v>
      </x:c>
      <x:c r="J104" s="27" t="str"/>
    </x:row>
    <x:row r="105">
      <x:c r="A105" s="27" t="str">
        <x:v>2012/13</x:v>
      </x:c>
      <x:c r="B105" s="27" t="str">
        <x:v>Telecomm</x:v>
      </x:c>
      <x:c r="C105" s="27" t="str">
        <x:v>Telecommunications</x:v>
      </x:c>
      <x:c r="D105" s="27" t="str">
        <x:v>Top-level</x:v>
      </x:c>
      <x:c r="E105" s="27" t="str">
        <x:v>NR</x:v>
      </x:c>
      <x:c r="F105" s="34" t="n">
        <x:v>1</x:v>
      </x:c>
      <x:c r="G105" s="27" t="str">
        <x:v>Merger decisions by sector</x:v>
      </x:c>
      <x:c r="H105" s="27" t="str">
        <x:v>S012</x:v>
      </x:c>
      <x:c r="I105" s="27" t="str">
        <x:v>2</x:v>
      </x:c>
      <x:c r="J105" s="27" t="str"/>
    </x:row>
    <x:row r="106">
      <x:c r="A106" s="27" t="str">
        <x:v>2012/13</x:v>
      </x:c>
      <x:c r="B106" s="27" t="str">
        <x:v>Hotels &amp; Restaurants</x:v>
      </x:c>
      <x:c r="C106" s="27" t="str">
        <x:v>Accommodation</x:v>
      </x:c>
      <x:c r="D106" s="27" t="str">
        <x:v>Top-level</x:v>
      </x:c>
      <x:c r="E106" s="27" t="str">
        <x:v>NR</x:v>
      </x:c>
      <x:c r="F106" s="34" t="n">
        <x:v>1</x:v>
      </x:c>
      <x:c r="G106" s="27" t="str">
        <x:v>Merger decisions by sector</x:v>
      </x:c>
      <x:c r="H106" s="27" t="str">
        <x:v>S012</x:v>
      </x:c>
      <x:c r="I106" s="27" t="str">
        <x:v>2</x:v>
      </x:c>
      <x:c r="J106" s="27" t="str"/>
    </x:row>
    <x:row r="107">
      <x:c r="A107" s="27" t="str">
        <x:v>2013/14</x:v>
      </x:c>
      <x:c r="B107" s="27" t="str">
        <x:v>Property</x:v>
      </x:c>
      <x:c r="C107" s="27" t="str">
        <x:v>Property</x:v>
      </x:c>
      <x:c r="D107" s="27" t="str">
        <x:v>Top-level</x:v>
      </x:c>
      <x:c r="E107" s="27" t="str">
        <x:v>NR</x:v>
      </x:c>
      <x:c r="F107" s="34" t="n">
        <x:v>28</x:v>
      </x:c>
      <x:c r="G107" s="27" t="str">
        <x:v>Merger decisions by sector</x:v>
      </x:c>
      <x:c r="H107" s="27" t="str">
        <x:v>S013</x:v>
      </x:c>
      <x:c r="I107" s="27" t="str">
        <x:v>2</x:v>
      </x:c>
      <x:c r="J107" s="27" t="str"/>
    </x:row>
    <x:row r="108">
      <x:c r="A108" s="27" t="str">
        <x:v>2013/14</x:v>
      </x:c>
      <x:c r="B108" s="27" t="str">
        <x:v>Manufacturing</x:v>
      </x:c>
      <x:c r="C108" s="27" t="str">
        <x:v>Manufacturing</x:v>
      </x:c>
      <x:c r="D108" s="27" t="str">
        <x:v>Top-level</x:v>
      </x:c>
      <x:c r="E108" s="27" t="str">
        <x:v>NR</x:v>
      </x:c>
      <x:c r="F108" s="34" t="n">
        <x:v>22</x:v>
      </x:c>
      <x:c r="G108" s="27" t="str">
        <x:v>Merger decisions by sector</x:v>
      </x:c>
      <x:c r="H108" s="27" t="str">
        <x:v>S013</x:v>
      </x:c>
      <x:c r="I108" s="27" t="str">
        <x:v>2</x:v>
      </x:c>
      <x:c r="J108" s="27" t="str"/>
    </x:row>
    <x:row r="109">
      <x:c r="A109" s="27" t="str">
        <x:v>2013/14</x:v>
      </x:c>
      <x:c r="B109" s="27" t="str">
        <x:v>Other</x:v>
      </x:c>
      <x:c r="C109" s="27" t="str">
        <x:v>Other</x:v>
      </x:c>
      <x:c r="D109" s="27" t="str">
        <x:v>Top-level</x:v>
      </x:c>
      <x:c r="E109" s="27" t="str">
        <x:v>NR</x:v>
      </x:c>
      <x:c r="F109" s="34" t="n">
        <x:v>12</x:v>
      </x:c>
      <x:c r="G109" s="27" t="str">
        <x:v>Merger decisions by sector</x:v>
      </x:c>
      <x:c r="H109" s="27" t="str">
        <x:v>S013</x:v>
      </x:c>
      <x:c r="I109" s="27" t="str">
        <x:v>2</x:v>
      </x:c>
      <x:c r="J109" s="27" t="str"/>
    </x:row>
    <x:row r="110">
      <x:c r="A110" s="27" t="str">
        <x:v>2013/14</x:v>
      </x:c>
      <x:c r="B110" s="27" t="str">
        <x:v>Retail</x:v>
      </x:c>
      <x:c r="C110" s="27" t="str">
        <x:v>Retail</x:v>
      </x:c>
      <x:c r="D110" s="27" t="str">
        <x:v>Top-level</x:v>
      </x:c>
      <x:c r="E110" s="27" t="str">
        <x:v>NR</x:v>
      </x:c>
      <x:c r="F110" s="34" t="n">
        <x:v>7</x:v>
      </x:c>
      <x:c r="G110" s="27" t="str">
        <x:v>Merger decisions by sector</x:v>
      </x:c>
      <x:c r="H110" s="27" t="str">
        <x:v>S013</x:v>
      </x:c>
      <x:c r="I110" s="27" t="str">
        <x:v>2</x:v>
      </x:c>
      <x:c r="J110" s="27" t="str"/>
    </x:row>
    <x:row r="111">
      <x:c r="A111" s="27" t="str">
        <x:v>2013/14</x:v>
      </x:c>
      <x:c r="B111" s="27" t="str">
        <x:v>Mining</x:v>
      </x:c>
      <x:c r="C111" s="27" t="str">
        <x:v>Mining</x:v>
      </x:c>
      <x:c r="D111" s="27" t="str">
        <x:v>Top-level</x:v>
      </x:c>
      <x:c r="E111" s="27" t="str">
        <x:v>NR</x:v>
      </x:c>
      <x:c r="F111" s="34" t="n">
        <x:v>7</x:v>
      </x:c>
      <x:c r="G111" s="27" t="str">
        <x:v>Merger decisions by sector</x:v>
      </x:c>
      <x:c r="H111" s="27" t="str">
        <x:v>S013</x:v>
      </x:c>
      <x:c r="I111" s="27" t="str">
        <x:v>2</x:v>
      </x:c>
      <x:c r="J111" s="27" t="str"/>
    </x:row>
    <x:row r="112">
      <x:c r="A112" s="27" t="str">
        <x:v>2013/14</x:v>
      </x:c>
      <x:c r="B112" s="27" t="str">
        <x:v>Wholesale</x:v>
      </x:c>
      <x:c r="C112" s="27" t="str">
        <x:v>Wholesale</x:v>
      </x:c>
      <x:c r="D112" s="27" t="str">
        <x:v>Top-level</x:v>
      </x:c>
      <x:c r="E112" s="27" t="str">
        <x:v>NR</x:v>
      </x:c>
      <x:c r="F112" s="34" t="n">
        <x:v>5</x:v>
      </x:c>
      <x:c r="G112" s="27" t="str">
        <x:v>Merger decisions by sector</x:v>
      </x:c>
      <x:c r="H112" s="27" t="str">
        <x:v>S013</x:v>
      </x:c>
      <x:c r="I112" s="27" t="str">
        <x:v>2</x:v>
      </x:c>
      <x:c r="J112" s="27" t="str"/>
    </x:row>
    <x:row r="113">
      <x:c r="A113" s="27" t="str">
        <x:v>2013/14</x:v>
      </x:c>
      <x:c r="B113" s="27" t="str">
        <x:v>Information Technology</x:v>
      </x:c>
      <x:c r="C113" s="27" t="str">
        <x:v>ICT</x:v>
      </x:c>
      <x:c r="D113" s="27" t="str">
        <x:v>Top-level</x:v>
      </x:c>
      <x:c r="E113" s="27" t="str">
        <x:v>NR</x:v>
      </x:c>
      <x:c r="F113" s="34" t="n">
        <x:v>4</x:v>
      </x:c>
      <x:c r="G113" s="27" t="str">
        <x:v>Merger decisions by sector</x:v>
      </x:c>
      <x:c r="H113" s="27" t="str">
        <x:v>S013</x:v>
      </x:c>
      <x:c r="I113" s="27" t="str">
        <x:v>2</x:v>
      </x:c>
      <x:c r="J113" s="27" t="str"/>
    </x:row>
    <x:row r="114">
      <x:c r="A114" s="27" t="str">
        <x:v>2013/14</x:v>
      </x:c>
      <x:c r="B114" s="27" t="str">
        <x:v>Financial</x:v>
      </x:c>
      <x:c r="C114" s="27" t="str">
        <x:v>Finance</x:v>
      </x:c>
      <x:c r="D114" s="27" t="str">
        <x:v>Top-level</x:v>
      </x:c>
      <x:c r="E114" s="27" t="str">
        <x:v>NR</x:v>
      </x:c>
      <x:c r="F114" s="34" t="n">
        <x:v>3</x:v>
      </x:c>
      <x:c r="G114" s="27" t="str">
        <x:v>Merger decisions by sector</x:v>
      </x:c>
      <x:c r="H114" s="27" t="str">
        <x:v>S013</x:v>
      </x:c>
      <x:c r="I114" s="27" t="str">
        <x:v>2</x:v>
      </x:c>
      <x:c r="J114" s="27" t="str"/>
    </x:row>
    <x:row r="115">
      <x:c r="A115" s="27" t="str">
        <x:v>2013/14</x:v>
      </x:c>
      <x:c r="B115" s="27" t="str">
        <x:v>Agriculture</x:v>
      </x:c>
      <x:c r="C115" s="27" t="str">
        <x:v>Agriculture</x:v>
      </x:c>
      <x:c r="D115" s="27" t="str">
        <x:v>Top-level</x:v>
      </x:c>
      <x:c r="E115" s="27" t="str">
        <x:v>NR</x:v>
      </x:c>
      <x:c r="F115" s="34" t="n">
        <x:v>3</x:v>
      </x:c>
      <x:c r="G115" s="27" t="str">
        <x:v>Merger decisions by sector</x:v>
      </x:c>
      <x:c r="H115" s="27" t="str">
        <x:v>S013</x:v>
      </x:c>
      <x:c r="I115" s="27" t="str">
        <x:v>2</x:v>
      </x:c>
      <x:c r="J115" s="27" t="str"/>
    </x:row>
    <x:row r="116">
      <x:c r="A116" s="27" t="str">
        <x:v>2013/14</x:v>
      </x:c>
      <x:c r="B116" s="27" t="str">
        <x:v>Health</x:v>
      </x:c>
      <x:c r="C116" s="27" t="str">
        <x:v>Health</x:v>
      </x:c>
      <x:c r="D116" s="27" t="str">
        <x:v>Top-level</x:v>
      </x:c>
      <x:c r="E116" s="27" t="str">
        <x:v>NR</x:v>
      </x:c>
      <x:c r="F116" s="34" t="n">
        <x:v>3</x:v>
      </x:c>
      <x:c r="G116" s="27" t="str">
        <x:v>Merger decisions by sector</x:v>
      </x:c>
      <x:c r="H116" s="27" t="str">
        <x:v>S013</x:v>
      </x:c>
      <x:c r="I116" s="27" t="str">
        <x:v>2</x:v>
      </x:c>
      <x:c r="J116" s="27" t="str"/>
    </x:row>
    <x:row r="117">
      <x:c r="A117" s="27" t="str">
        <x:v>2013/14</x:v>
      </x:c>
      <x:c r="B117" s="27" t="str">
        <x:v>Construction</x:v>
      </x:c>
      <x:c r="C117" s="27" t="str">
        <x:v>Construction</x:v>
      </x:c>
      <x:c r="D117" s="27" t="str">
        <x:v>Top-level</x:v>
      </x:c>
      <x:c r="E117" s="27" t="str">
        <x:v>NR</x:v>
      </x:c>
      <x:c r="F117" s="34" t="n">
        <x:v>2</x:v>
      </x:c>
      <x:c r="G117" s="27" t="str">
        <x:v>Merger decisions by sector</x:v>
      </x:c>
      <x:c r="H117" s="27" t="str">
        <x:v>S013</x:v>
      </x:c>
      <x:c r="I117" s="27" t="str">
        <x:v>2</x:v>
      </x:c>
      <x:c r="J117" s="27" t="str"/>
    </x:row>
    <x:row r="118">
      <x:c r="A118" s="27" t="str">
        <x:v>2013/14</x:v>
      </x:c>
      <x:c r="B118" s="27" t="str">
        <x:v>Transport</x:v>
      </x:c>
      <x:c r="C118" s="27" t="str">
        <x:v>Transport</x:v>
      </x:c>
      <x:c r="D118" s="27" t="str">
        <x:v>Top-level</x:v>
      </x:c>
      <x:c r="E118" s="27" t="str">
        <x:v>NR</x:v>
      </x:c>
      <x:c r="F118" s="34" t="n">
        <x:v>2</x:v>
      </x:c>
      <x:c r="G118" s="27" t="str">
        <x:v>Merger decisions by sector</x:v>
      </x:c>
      <x:c r="H118" s="27" t="str">
        <x:v>S013</x:v>
      </x:c>
      <x:c r="I118" s="27" t="str">
        <x:v>2</x:v>
      </x:c>
      <x:c r="J118" s="27" t="str"/>
    </x:row>
    <x:row r="119">
      <x:c r="A119" s="27" t="str">
        <x:v>2013/14</x:v>
      </x:c>
      <x:c r="B119" s="27" t="str">
        <x:v>Telecomm</x:v>
      </x:c>
      <x:c r="C119" s="27" t="str">
        <x:v>Telecommunications</x:v>
      </x:c>
      <x:c r="D119" s="27" t="str">
        <x:v>Top-level</x:v>
      </x:c>
      <x:c r="E119" s="27" t="str">
        <x:v>NR</x:v>
      </x:c>
      <x:c r="F119" s="34" t="n">
        <x:v>2</x:v>
      </x:c>
      <x:c r="G119" s="27" t="str">
        <x:v>Merger decisions by sector</x:v>
      </x:c>
      <x:c r="H119" s="27" t="str">
        <x:v>S013</x:v>
      </x:c>
      <x:c r="I119" s="27" t="str">
        <x:v>2</x:v>
      </x:c>
      <x:c r="J119" s="27" t="str"/>
    </x:row>
    <x:row r="120">
      <x:c r="A120" s="27" t="str">
        <x:v>2016/17</x:v>
      </x:c>
      <x:c r="B120" s="27" t="str">
        <x:v>Activities of households</x:v>
      </x:c>
      <x:c r="C120" s="27" t="str">
        <x:v>Other</x:v>
      </x:c>
      <x:c r="D120" s="27" t="str">
        <x:v>Top-level</x:v>
      </x:c>
      <x:c r="E120" s="27" t="str">
        <x:v>NR</x:v>
      </x:c>
      <x:c r="F120" s="34" t="n">
        <x:v>0.26</x:v>
      </x:c>
      <x:c r="G120" s="27" t="str">
        <x:v>Merger decisions by sector</x:v>
      </x:c>
      <x:c r="H120" s="27" t="str">
        <x:v>S016</x:v>
      </x:c>
      <x:c r="I120" s="27" t="str">
        <x:v>5</x:v>
      </x:c>
      <x:c r="J120" s="27" t="str"/>
    </x:row>
    <x:row r="121">
      <x:c r="A121" s="27" t="str">
        <x:v>2016/17</x:v>
      </x:c>
      <x:c r="B121" s="27" t="str">
        <x:v>Administration</x:v>
      </x:c>
      <x:c r="C121" s="27" t="str">
        <x:v>Administration</x:v>
      </x:c>
      <x:c r="D121" s="27" t="str">
        <x:v>Top-level</x:v>
      </x:c>
      <x:c r="E121" s="27" t="str">
        <x:v>NR</x:v>
      </x:c>
      <x:c r="F121" s="34" t="n">
        <x:v>2.08</x:v>
      </x:c>
      <x:c r="G121" s="27" t="str">
        <x:v>Merger decisions by sector</x:v>
      </x:c>
      <x:c r="H121" s="27" t="str">
        <x:v>S016</x:v>
      </x:c>
      <x:c r="I121" s="27" t="str">
        <x:v>5</x:v>
      </x:c>
      <x:c r="J121" s="27" t="str"/>
    </x:row>
    <x:row r="122">
      <x:c r="A122" s="27" t="str">
        <x:v>2016/17</x:v>
      </x:c>
      <x:c r="B122" s="27" t="str">
        <x:v>Agriculture</x:v>
      </x:c>
      <x:c r="C122" s="27" t="str">
        <x:v>Agriculture</x:v>
      </x:c>
      <x:c r="D122" s="27" t="str">
        <x:v>Top-level</x:v>
      </x:c>
      <x:c r="E122" s="27" t="str">
        <x:v>NR</x:v>
      </x:c>
      <x:c r="F122" s="34" t="n">
        <x:v>3.9</x:v>
      </x:c>
      <x:c r="G122" s="27" t="str">
        <x:v>Merger decisions by sector</x:v>
      </x:c>
      <x:c r="H122" s="27" t="str">
        <x:v>S016</x:v>
      </x:c>
      <x:c r="I122" s="27" t="str">
        <x:v>5</x:v>
      </x:c>
      <x:c r="J122" s="27" t="str"/>
    </x:row>
    <x:row r="123">
      <x:c r="A123" s="27" t="str">
        <x:v>2016/17</x:v>
      </x:c>
      <x:c r="B123" s="27" t="str">
        <x:v>Energy (electricity, gas, steam)</x:v>
      </x:c>
      <x:c r="C123" s="27" t="str">
        <x:v>Energy</x:v>
      </x:c>
      <x:c r="D123" s="27" t="str">
        <x:v>Top-level</x:v>
      </x:c>
      <x:c r="E123" s="27" t="str">
        <x:v>NR</x:v>
      </x:c>
      <x:c r="F123" s="34" t="n">
        <x:v>1.3</x:v>
      </x:c>
      <x:c r="G123" s="27" t="str">
        <x:v>Merger decisions by sector</x:v>
      </x:c>
      <x:c r="H123" s="27" t="str">
        <x:v>S016</x:v>
      </x:c>
      <x:c r="I123" s="27" t="str">
        <x:v>5</x:v>
      </x:c>
      <x:c r="J123" s="27" t="str"/>
    </x:row>
    <x:row r="124">
      <x:c r="A124" s="27" t="str">
        <x:v>2016/17</x:v>
      </x:c>
      <x:c r="B124" s="27" t="str">
        <x:v>Finance</x:v>
      </x:c>
      <x:c r="C124" s="27" t="str">
        <x:v>Finance</x:v>
      </x:c>
      <x:c r="D124" s="27" t="str">
        <x:v>Top-level</x:v>
      </x:c>
      <x:c r="E124" s="27" t="str">
        <x:v>NR</x:v>
      </x:c>
      <x:c r="F124" s="34" t="n">
        <x:v>6.75</x:v>
      </x:c>
      <x:c r="G124" s="27" t="str">
        <x:v>Merger decisions by sector</x:v>
      </x:c>
      <x:c r="H124" s="27" t="str">
        <x:v>S016</x:v>
      </x:c>
      <x:c r="I124" s="27" t="str">
        <x:v>5</x:v>
      </x:c>
      <x:c r="J124" s="27" t="str"/>
    </x:row>
    <x:row r="125">
      <x:c r="A125" s="27" t="str">
        <x:v>2016/17</x:v>
      </x:c>
      <x:c r="B125" s="27" t="str">
        <x:v>Health</x:v>
      </x:c>
      <x:c r="C125" s="27" t="str">
        <x:v>Health</x:v>
      </x:c>
      <x:c r="D125" s="27" t="str">
        <x:v>Top-level</x:v>
      </x:c>
      <x:c r="E125" s="27" t="str">
        <x:v>NR</x:v>
      </x:c>
      <x:c r="F125" s="34" t="n">
        <x:v>5.19</x:v>
      </x:c>
      <x:c r="G125" s="27" t="str">
        <x:v>Merger decisions by sector</x:v>
      </x:c>
      <x:c r="H125" s="27" t="str">
        <x:v>S016</x:v>
      </x:c>
      <x:c r="I125" s="27" t="str">
        <x:v>5</x:v>
      </x:c>
      <x:c r="J125" s="27" t="str"/>
    </x:row>
    <x:row r="126">
      <x:c r="A126" s="27" t="str">
        <x:v>2016/17</x:v>
      </x:c>
      <x:c r="B126" s="27" t="str">
        <x:v>Information and communication technology</x:v>
      </x:c>
      <x:c r="C126" s="27" t="str">
        <x:v>ICT</x:v>
      </x:c>
      <x:c r="D126" s="27" t="str">
        <x:v>Top-level</x:v>
      </x:c>
      <x:c r="E126" s="27" t="str">
        <x:v>NR</x:v>
      </x:c>
      <x:c r="F126" s="34" t="n">
        <x:v>7.27</x:v>
      </x:c>
      <x:c r="G126" s="27" t="str">
        <x:v>Merger decisions by sector</x:v>
      </x:c>
      <x:c r="H126" s="27" t="str">
        <x:v>S016</x:v>
      </x:c>
      <x:c r="I126" s="27" t="str">
        <x:v>5</x:v>
      </x:c>
      <x:c r="J126" s="27" t="str"/>
    </x:row>
    <x:row r="127">
      <x:c r="A127" s="27" t="str">
        <x:v>2016/17</x:v>
      </x:c>
      <x:c r="B127" s="27" t="str">
        <x:v>Manufacturing</x:v>
      </x:c>
      <x:c r="C127" s="27" t="str">
        <x:v>Manufacturing</x:v>
      </x:c>
      <x:c r="D127" s="27" t="str">
        <x:v>Top-level</x:v>
      </x:c>
      <x:c r="E127" s="27" t="str">
        <x:v>NR</x:v>
      </x:c>
      <x:c r="F127" s="34" t="n">
        <x:v>20</x:v>
      </x:c>
      <x:c r="G127" s="27" t="str">
        <x:v>Merger decisions by sector</x:v>
      </x:c>
      <x:c r="H127" s="27" t="str">
        <x:v>S016</x:v>
      </x:c>
      <x:c r="I127" s="27" t="str">
        <x:v>5</x:v>
      </x:c>
      <x:c r="J127" s="27" t="str"/>
    </x:row>
    <x:row r="128">
      <x:c r="A128" s="27" t="str">
        <x:v>2016/17</x:v>
      </x:c>
      <x:c r="B128" s="27" t="str">
        <x:v>Mining</x:v>
      </x:c>
      <x:c r="C128" s="27" t="str">
        <x:v>Mining</x:v>
      </x:c>
      <x:c r="D128" s="27" t="str">
        <x:v>Top-level</x:v>
      </x:c>
      <x:c r="E128" s="27" t="str">
        <x:v>NR</x:v>
      </x:c>
      <x:c r="F128" s="34" t="n">
        <x:v>5.19</x:v>
      </x:c>
      <x:c r="G128" s="27" t="str">
        <x:v>Merger decisions by sector</x:v>
      </x:c>
      <x:c r="H128" s="27" t="str">
        <x:v>S016</x:v>
      </x:c>
      <x:c r="I128" s="27" t="str">
        <x:v>5</x:v>
      </x:c>
      <x:c r="J128" s="27" t="str"/>
    </x:row>
    <x:row r="129">
      <x:c r="A129" s="27" t="str">
        <x:v>2016/17</x:v>
      </x:c>
      <x:c r="B129" s="27" t="str">
        <x:v>Property</x:v>
      </x:c>
      <x:c r="C129" s="27" t="str">
        <x:v>Property</x:v>
      </x:c>
      <x:c r="D129" s="27" t="str">
        <x:v>Top-level</x:v>
      </x:c>
      <x:c r="E129" s="27" t="str">
        <x:v>NR</x:v>
      </x:c>
      <x:c r="F129" s="34" t="n">
        <x:v>20.26</x:v>
      </x:c>
      <x:c r="G129" s="27" t="str">
        <x:v>Merger decisions by sector</x:v>
      </x:c>
      <x:c r="H129" s="27" t="str">
        <x:v>S016</x:v>
      </x:c>
      <x:c r="I129" s="27" t="str">
        <x:v>5</x:v>
      </x:c>
      <x:c r="J129" s="27" t="str"/>
    </x:row>
    <x:row r="130">
      <x:c r="A130" s="27" t="str">
        <x:v>2016/17</x:v>
      </x:c>
      <x:c r="B130" s="27" t="str">
        <x:v>Transportation and storage</x:v>
      </x:c>
      <x:c r="C130" s="27" t="str">
        <x:v>Transport</x:v>
      </x:c>
      <x:c r="D130" s="27" t="str">
        <x:v>Top-level</x:v>
      </x:c>
      <x:c r="E130" s="27" t="str">
        <x:v>NR</x:v>
      </x:c>
      <x:c r="F130" s="34" t="n">
        <x:v>4.94</x:v>
      </x:c>
      <x:c r="G130" s="27" t="str">
        <x:v>Merger decisions by sector</x:v>
      </x:c>
      <x:c r="H130" s="27" t="str">
        <x:v>S016</x:v>
      </x:c>
      <x:c r="I130" s="27" t="str">
        <x:v>5</x:v>
      </x:c>
      <x:c r="J130" s="27" t="str"/>
    </x:row>
    <x:row r="131">
      <x:c r="A131" s="27" t="str">
        <x:v>2016/17</x:v>
      </x:c>
      <x:c r="B131" s="27" t="str">
        <x:v>Wholesale</x:v>
      </x:c>
      <x:c r="C131" s="27" t="str">
        <x:v>Wholesale</x:v>
      </x:c>
      <x:c r="D131" s="27" t="str">
        <x:v>Top-level</x:v>
      </x:c>
      <x:c r="E131" s="27" t="str">
        <x:v>NR</x:v>
      </x:c>
      <x:c r="F131" s="34" t="n">
        <x:v>12.47</x:v>
      </x:c>
      <x:c r="G131" s="27" t="str">
        <x:v>Merger decisions by sector</x:v>
      </x:c>
      <x:c r="H131" s="27" t="str">
        <x:v>S016</x:v>
      </x:c>
      <x:c r="I131" s="27" t="str">
        <x:v>5</x:v>
      </x:c>
      <x:c r="J131" s="27" t="str"/>
    </x:row>
    <x:row r="132">
      <x:c r="A132" s="27" t="str">
        <x:v>2016/17</x:v>
      </x:c>
      <x:c r="B132" s="27" t="str">
        <x:v>Construction</x:v>
      </x:c>
      <x:c r="C132" s="27" t="str">
        <x:v>Construction</x:v>
      </x:c>
      <x:c r="D132" s="27" t="str">
        <x:v>Top-level</x:v>
      </x:c>
      <x:c r="E132" s="27" t="str">
        <x:v>NR</x:v>
      </x:c>
      <x:c r="F132" s="34" t="n">
        <x:v>2.08</x:v>
      </x:c>
      <x:c r="G132" s="27" t="str">
        <x:v>Merger decisions by sector</x:v>
      </x:c>
      <x:c r="H132" s="27" t="str">
        <x:v>S016</x:v>
      </x:c>
      <x:c r="I132" s="27" t="str">
        <x:v>5</x:v>
      </x:c>
      <x:c r="J132" s="27" t="str"/>
    </x:row>
    <x:row r="133">
      <x:c r="A133" s="27" t="str">
        <x:v>2016/17</x:v>
      </x:c>
      <x:c r="B133" s="27" t="str">
        <x:v>Professional and technical activities</x:v>
      </x:c>
      <x:c r="C133" s="27" t="str">
        <x:v>Professional services</x:v>
      </x:c>
      <x:c r="D133" s="27" t="str">
        <x:v>Top-level</x:v>
      </x:c>
      <x:c r="E133" s="27" t="str">
        <x:v>NR</x:v>
      </x:c>
      <x:c r="F133" s="34" t="n">
        <x:v>3.64</x:v>
      </x:c>
      <x:c r="G133" s="27" t="str">
        <x:v>Merger decisions by sector</x:v>
      </x:c>
      <x:c r="H133" s="27" t="str">
        <x:v>S016</x:v>
      </x:c>
      <x:c r="I133" s="27" t="str">
        <x:v>5</x:v>
      </x:c>
      <x:c r="J133" s="27" t="str"/>
    </x:row>
    <x:row r="134">
      <x:c r="A134" s="27" t="str">
        <x:v>2016/17</x:v>
      </x:c>
      <x:c r="B134" s="27" t="str">
        <x:v>Other activities</x:v>
      </x:c>
      <x:c r="C134" s="27" t="str">
        <x:v>Other</x:v>
      </x:c>
      <x:c r="D134" s="27" t="str">
        <x:v>Top-level</x:v>
      </x:c>
      <x:c r="E134" s="27" t="str">
        <x:v>NR</x:v>
      </x:c>
      <x:c r="F134" s="34" t="n">
        <x:v>4.68</x:v>
      </x:c>
      <x:c r="G134" s="27" t="str">
        <x:v>Merger decisions by sector</x:v>
      </x:c>
      <x:c r="H134" s="27" t="str">
        <x:v>S016</x:v>
      </x:c>
      <x:c r="I134" s="27" t="str">
        <x:v>5</x:v>
      </x:c>
      <x:c r="J134" s="27" t="str"/>
    </x:row>
    <x:row r="135">
      <x:c r="A135" s="27" t="str">
        <x:v>2017/18</x:v>
      </x:c>
      <x:c r="B135" s="27" t="str">
        <x:v>Agriculture</x:v>
      </x:c>
      <x:c r="C135" s="27" t="str">
        <x:v>Agriculture</x:v>
      </x:c>
      <x:c r="D135" s="27" t="str">
        <x:v>Top-level</x:v>
      </x:c>
      <x:c r="E135" s="27" t="str">
        <x:v>NR</x:v>
      </x:c>
      <x:c r="F135" s="34" t="n">
        <x:v>1.79</x:v>
      </x:c>
      <x:c r="G135" s="27" t="str">
        <x:v>Merger decisions by sector</x:v>
      </x:c>
      <x:c r="H135" s="27" t="str">
        <x:v>S017</x:v>
      </x:c>
      <x:c r="I135" s="27" t="str">
        <x:v>13</x:v>
      </x:c>
      <x:c r="J135" s="27" t="str"/>
    </x:row>
    <x:row r="136">
      <x:c r="A136" s="27" t="str">
        <x:v>2017/18</x:v>
      </x:c>
      <x:c r="B136" s="27" t="str">
        <x:v>Finance</x:v>
      </x:c>
      <x:c r="C136" s="27" t="str">
        <x:v>Finance</x:v>
      </x:c>
      <x:c r="D136" s="27" t="str">
        <x:v>Top-level</x:v>
      </x:c>
      <x:c r="E136" s="27" t="str">
        <x:v>NR</x:v>
      </x:c>
      <x:c r="F136" s="34" t="n">
        <x:v>10.77</x:v>
      </x:c>
      <x:c r="G136" s="27" t="str">
        <x:v>Merger decisions by sector</x:v>
      </x:c>
      <x:c r="H136" s="27" t="str">
        <x:v>S017</x:v>
      </x:c>
      <x:c r="I136" s="27" t="str">
        <x:v>13</x:v>
      </x:c>
      <x:c r="J136" s="27" t="str"/>
    </x:row>
    <x:row r="137">
      <x:c r="A137" s="27" t="str">
        <x:v>2017/18</x:v>
      </x:c>
      <x:c r="B137" s="27" t="str">
        <x:v>Accommodation</x:v>
      </x:c>
      <x:c r="C137" s="27" t="str">
        <x:v>Accommodation</x:v>
      </x:c>
      <x:c r="D137" s="27" t="str">
        <x:v>Top-level</x:v>
      </x:c>
      <x:c r="E137" s="27" t="str">
        <x:v>NR</x:v>
      </x:c>
      <x:c r="F137" s="34" t="n">
        <x:v>0.51</x:v>
      </x:c>
      <x:c r="G137" s="27" t="str">
        <x:v>Merger decisions by sector</x:v>
      </x:c>
      <x:c r="H137" s="27" t="str">
        <x:v>S017</x:v>
      </x:c>
      <x:c r="I137" s="27" t="str">
        <x:v>13</x:v>
      </x:c>
      <x:c r="J137" s="27" t="str"/>
    </x:row>
    <x:row r="138">
      <x:c r="A138" s="27" t="str">
        <x:v>2017/18</x:v>
      </x:c>
      <x:c r="B138" s="27" t="str">
        <x:v>Administration</x:v>
      </x:c>
      <x:c r="C138" s="27" t="str">
        <x:v>Administration</x:v>
      </x:c>
      <x:c r="D138" s="27" t="str">
        <x:v>Top-level</x:v>
      </x:c>
      <x:c r="E138" s="27" t="str">
        <x:v>NR</x:v>
      </x:c>
      <x:c r="F138" s="34" t="n">
        <x:v>0.77</x:v>
      </x:c>
      <x:c r="G138" s="27" t="str">
        <x:v>Merger decisions by sector</x:v>
      </x:c>
      <x:c r="H138" s="27" t="str">
        <x:v>S017</x:v>
      </x:c>
      <x:c r="I138" s="27" t="str">
        <x:v>13</x:v>
      </x:c>
      <x:c r="J138" s="27" t="str"/>
    </x:row>
    <x:row r="139">
      <x:c r="A139" s="27" t="str">
        <x:v>2017/18</x:v>
      </x:c>
      <x:c r="B139" s="27" t="str">
        <x:v>Electricity, gas, steam</x:v>
      </x:c>
      <x:c r="C139" s="27" t="str">
        <x:v>Energy</x:v>
      </x:c>
      <x:c r="D139" s="27" t="str">
        <x:v>Top-level</x:v>
      </x:c>
      <x:c r="E139" s="27" t="str">
        <x:v>NR</x:v>
      </x:c>
      <x:c r="F139" s="34" t="n">
        <x:v>1.03</x:v>
      </x:c>
      <x:c r="G139" s="27" t="str">
        <x:v>Merger decisions by sector</x:v>
      </x:c>
      <x:c r="H139" s="27" t="str">
        <x:v>S017</x:v>
      </x:c>
      <x:c r="I139" s="27" t="str">
        <x:v>13</x:v>
      </x:c>
      <x:c r="J139" s="27" t="str"/>
    </x:row>
    <x:row r="140">
      <x:c r="A140" s="27" t="str">
        <x:v>2017/18</x:v>
      </x:c>
      <x:c r="B140" s="27" t="str">
        <x:v>Wholesale</x:v>
      </x:c>
      <x:c r="C140" s="27" t="str">
        <x:v>Wholesale</x:v>
      </x:c>
      <x:c r="D140" s="27" t="str">
        <x:v>Top-level</x:v>
      </x:c>
      <x:c r="E140" s="27" t="str">
        <x:v>NR</x:v>
      </x:c>
      <x:c r="F140" s="34" t="n">
        <x:v>15.9</x:v>
      </x:c>
      <x:c r="G140" s="27" t="str">
        <x:v>Merger decisions by sector</x:v>
      </x:c>
      <x:c r="H140" s="27" t="str">
        <x:v>S017</x:v>
      </x:c>
      <x:c r="I140" s="27" t="str">
        <x:v>13</x:v>
      </x:c>
      <x:c r="J140" s="27" t="str"/>
    </x:row>
    <x:row r="141">
      <x:c r="A141" s="27" t="str">
        <x:v>2017/18</x:v>
      </x:c>
      <x:c r="B141" s="27" t="str">
        <x:v>Manufacturing</x:v>
      </x:c>
      <x:c r="C141" s="27" t="str">
        <x:v>Manufacturing</x:v>
      </x:c>
      <x:c r="D141" s="27" t="str">
        <x:v>Top-level</x:v>
      </x:c>
      <x:c r="E141" s="27" t="str">
        <x:v>NR</x:v>
      </x:c>
      <x:c r="F141" s="34" t="n">
        <x:v>20</x:v>
      </x:c>
      <x:c r="G141" s="27" t="str">
        <x:v>Merger decisions by sector</x:v>
      </x:c>
      <x:c r="H141" s="27" t="str">
        <x:v>S017</x:v>
      </x:c>
      <x:c r="I141" s="27" t="str">
        <x:v>13</x:v>
      </x:c>
      <x:c r="J141" s="27" t="str"/>
    </x:row>
    <x:row r="142">
      <x:c r="A142" s="27" t="str">
        <x:v>2017/18</x:v>
      </x:c>
      <x:c r="B142" s="27" t="str">
        <x:v>Professional &amp; technical activities</x:v>
      </x:c>
      <x:c r="C142" s="27" t="str">
        <x:v>Professional services</x:v>
      </x:c>
      <x:c r="D142" s="27" t="str">
        <x:v>Top-level</x:v>
      </x:c>
      <x:c r="E142" s="27" t="str">
        <x:v>NR</x:v>
      </x:c>
      <x:c r="F142" s="34" t="n">
        <x:v>1.28</x:v>
      </x:c>
      <x:c r="G142" s="27" t="str">
        <x:v>Merger decisions by sector</x:v>
      </x:c>
      <x:c r="H142" s="27" t="str">
        <x:v>S017</x:v>
      </x:c>
      <x:c r="I142" s="27" t="str">
        <x:v>13</x:v>
      </x:c>
      <x:c r="J142" s="27" t="str"/>
    </x:row>
    <x:row r="143">
      <x:c r="A143" s="27" t="str">
        <x:v>2017/18</x:v>
      </x:c>
      <x:c r="B143" s="27" t="str">
        <x:v>Other</x:v>
      </x:c>
      <x:c r="C143" s="27" t="str">
        <x:v>Other</x:v>
      </x:c>
      <x:c r="D143" s="27" t="str">
        <x:v>Top-level</x:v>
      </x:c>
      <x:c r="E143" s="27" t="str">
        <x:v>NR</x:v>
      </x:c>
      <x:c r="F143" s="34" t="n">
        <x:v>3.85</x:v>
      </x:c>
      <x:c r="G143" s="27" t="str">
        <x:v>Merger decisions by sector</x:v>
      </x:c>
      <x:c r="H143" s="27" t="str">
        <x:v>S017</x:v>
      </x:c>
      <x:c r="I143" s="27" t="str">
        <x:v>13</x:v>
      </x:c>
      <x:c r="J143" s="27" t="str"/>
    </x:row>
    <x:row r="144">
      <x:c r="A144" s="27" t="str">
        <x:v>2017/18</x:v>
      </x:c>
      <x:c r="B144" s="27" t="str">
        <x:v>Property</x:v>
      </x:c>
      <x:c r="C144" s="27" t="str">
        <x:v>Property</x:v>
      </x:c>
      <x:c r="D144" s="27" t="str">
        <x:v>Top-level</x:v>
      </x:c>
      <x:c r="E144" s="27" t="str">
        <x:v>NR</x:v>
      </x:c>
      <x:c r="F144" s="34" t="n">
        <x:v>23.85</x:v>
      </x:c>
      <x:c r="G144" s="27" t="str">
        <x:v>Merger decisions by sector</x:v>
      </x:c>
      <x:c r="H144" s="27" t="str">
        <x:v>S017</x:v>
      </x:c>
      <x:c r="I144" s="27" t="str">
        <x:v>13</x:v>
      </x:c>
      <x:c r="J144" s="27" t="str"/>
    </x:row>
    <x:row r="145">
      <x:c r="A145" s="27" t="str">
        <x:v>2017/18</x:v>
      </x:c>
      <x:c r="B145" s="27" t="str">
        <x:v>Health</x:v>
      </x:c>
      <x:c r="C145" s="27" t="str">
        <x:v>Health</x:v>
      </x:c>
      <x:c r="D145" s="27" t="str">
        <x:v>Top-level</x:v>
      </x:c>
      <x:c r="E145" s="27" t="str">
        <x:v>NR</x:v>
      </x:c>
      <x:c r="F145" s="34" t="n">
        <x:v>4.36</x:v>
      </x:c>
      <x:c r="G145" s="27" t="str">
        <x:v>Merger decisions by sector</x:v>
      </x:c>
      <x:c r="H145" s="27" t="str">
        <x:v>S017</x:v>
      </x:c>
      <x:c r="I145" s="27" t="str">
        <x:v>13</x:v>
      </x:c>
      <x:c r="J145" s="27" t="str"/>
    </x:row>
    <x:row r="146">
      <x:c r="A146" s="27" t="str">
        <x:v>2017/18</x:v>
      </x:c>
      <x:c r="B146" s="27" t="str">
        <x:v>Transportation &amp; storage</x:v>
      </x:c>
      <x:c r="C146" s="27" t="str">
        <x:v>Transport</x:v>
      </x:c>
      <x:c r="D146" s="27" t="str">
        <x:v>Top-level</x:v>
      </x:c>
      <x:c r="E146" s="27" t="str">
        <x:v>NR</x:v>
      </x:c>
      <x:c r="F146" s="34" t="n">
        <x:v>2.31</x:v>
      </x:c>
      <x:c r="G146" s="27" t="str">
        <x:v>Merger decisions by sector</x:v>
      </x:c>
      <x:c r="H146" s="27" t="str">
        <x:v>S017</x:v>
      </x:c>
      <x:c r="I146" s="27" t="str">
        <x:v>13</x:v>
      </x:c>
      <x:c r="J146" s="27" t="str"/>
    </x:row>
    <x:row r="147">
      <x:c r="A147" s="27" t="str">
        <x:v>2017/18</x:v>
      </x:c>
      <x:c r="B147" s="27" t="str">
        <x:v>Information communication</x:v>
      </x:c>
      <x:c r="C147" s="27" t="str">
        <x:v>ICT</x:v>
      </x:c>
      <x:c r="D147" s="27" t="str">
        <x:v>Top-level</x:v>
      </x:c>
      <x:c r="E147" s="27" t="str">
        <x:v>NR</x:v>
      </x:c>
      <x:c r="F147" s="34" t="n">
        <x:v>4.87</x:v>
      </x:c>
      <x:c r="G147" s="27" t="str">
        <x:v>Merger decisions by sector</x:v>
      </x:c>
      <x:c r="H147" s="27" t="str">
        <x:v>S017</x:v>
      </x:c>
      <x:c r="I147" s="27" t="str">
        <x:v>13</x:v>
      </x:c>
      <x:c r="J147" s="27" t="str"/>
    </x:row>
    <x:row r="148">
      <x:c r="A148" s="27" t="str">
        <x:v>2017/18</x:v>
      </x:c>
      <x:c r="B148" s="27" t="str">
        <x:v>Construction</x:v>
      </x:c>
      <x:c r="C148" s="27" t="str">
        <x:v>Construction</x:v>
      </x:c>
      <x:c r="D148" s="27" t="str">
        <x:v>Top-level</x:v>
      </x:c>
      <x:c r="E148" s="27" t="str">
        <x:v>NR</x:v>
      </x:c>
      <x:c r="F148" s="34" t="n">
        <x:v>2.56</x:v>
      </x:c>
      <x:c r="G148" s="27" t="str">
        <x:v>Merger decisions by sector</x:v>
      </x:c>
      <x:c r="H148" s="27" t="str">
        <x:v>S017</x:v>
      </x:c>
      <x:c r="I148" s="27" t="str">
        <x:v>13</x:v>
      </x:c>
      <x:c r="J148" s="27" t="str"/>
    </x:row>
    <x:row r="149">
      <x:c r="A149" s="27" t="str">
        <x:v>2017/18</x:v>
      </x:c>
      <x:c r="B149" s="27" t="str">
        <x:v>Mining</x:v>
      </x:c>
      <x:c r="C149" s="27" t="str">
        <x:v>Mining</x:v>
      </x:c>
      <x:c r="D149" s="27" t="str">
        <x:v>Top-level</x:v>
      </x:c>
      <x:c r="E149" s="27" t="str">
        <x:v>NR</x:v>
      </x:c>
      <x:c r="F149" s="34" t="n">
        <x:v>6.15</x:v>
      </x:c>
      <x:c r="G149" s="27" t="str">
        <x:v>Merger decisions by sector</x:v>
      </x:c>
      <x:c r="H149" s="27" t="str">
        <x:v>S017</x:v>
      </x:c>
      <x:c r="I149" s="27" t="str">
        <x:v>13</x:v>
      </x:c>
      <x:c r="J149" s="27" t="str"/>
    </x:row>
    <x:row r="150">
      <x:c r="A150" s="27" t="str">
        <x:v>2019/20</x:v>
      </x:c>
      <x:c r="B150" s="27" t="str">
        <x:v>Manufacturing</x:v>
      </x:c>
      <x:c r="C150" s="27" t="str">
        <x:v>Manufacturing</x:v>
      </x:c>
      <x:c r="D150" s="27" t="str">
        <x:v>Top-level</x:v>
      </x:c>
      <x:c r="E150" s="27" t="str">
        <x:v>NR</x:v>
      </x:c>
      <x:c r="F150" s="34" t="n">
        <x:v>20</x:v>
      </x:c>
      <x:c r="G150" s="27" t="str">
        <x:v>Cases assessed / sectoral analysis</x:v>
      </x:c>
      <x:c r="H150" s="27" t="str">
        <x:v>S019</x:v>
      </x:c>
      <x:c r="I150" s="27" t="str">
        <x:v>3</x:v>
      </x:c>
      <x:c r="J150" s="27" t="str"/>
    </x:row>
    <x:row r="151">
      <x:c r="A151" s="27" t="str">
        <x:v>2019/20</x:v>
      </x:c>
      <x:c r="B151" s="27" t="str">
        <x:v>Property</x:v>
      </x:c>
      <x:c r="C151" s="27" t="str">
        <x:v>Property</x:v>
      </x:c>
      <x:c r="D151" s="27" t="str">
        <x:v>Top-level</x:v>
      </x:c>
      <x:c r="E151" s="27" t="str">
        <x:v>NR</x:v>
      </x:c>
      <x:c r="F151" s="34" t="n">
        <x:v>19</x:v>
      </x:c>
      <x:c r="G151" s="27" t="str">
        <x:v>Cases assessed / sectoral analysis</x:v>
      </x:c>
      <x:c r="H151" s="27" t="str">
        <x:v>S019</x:v>
      </x:c>
      <x:c r="I151" s="27" t="str">
        <x:v>3</x:v>
      </x:c>
      <x:c r="J151" s="27" t="str"/>
    </x:row>
    <x:row r="152">
      <x:c r="A152" s="27" t="str">
        <x:v>2019/20</x:v>
      </x:c>
      <x:c r="B152" s="27" t="str">
        <x:v>Wholesale</x:v>
      </x:c>
      <x:c r="C152" s="27" t="str">
        <x:v>Wholesale</x:v>
      </x:c>
      <x:c r="D152" s="27" t="str">
        <x:v>Top-level</x:v>
      </x:c>
      <x:c r="E152" s="27" t="str">
        <x:v>NR</x:v>
      </x:c>
      <x:c r="F152" s="34" t="n">
        <x:v>18</x:v>
      </x:c>
      <x:c r="G152" s="27" t="str">
        <x:v>Cases assessed / sectoral analysis</x:v>
      </x:c>
      <x:c r="H152" s="27" t="str">
        <x:v>S019</x:v>
      </x:c>
      <x:c r="I152" s="27" t="str">
        <x:v>3</x:v>
      </x:c>
      <x:c r="J152" s="27" t="str"/>
    </x:row>
    <x:row r="153">
      <x:c r="A153" s="27" t="str">
        <x:v>2019/20</x:v>
      </x:c>
      <x:c r="B153" s="27" t="str">
        <x:v>Finance</x:v>
      </x:c>
      <x:c r="C153" s="27" t="str">
        <x:v>Finance</x:v>
      </x:c>
      <x:c r="D153" s="27" t="str">
        <x:v>Top-level</x:v>
      </x:c>
      <x:c r="E153" s="27" t="str">
        <x:v>NR</x:v>
      </x:c>
      <x:c r="F153" s="34" t="n">
        <x:v>10</x:v>
      </x:c>
      <x:c r="G153" s="27" t="str">
        <x:v>Cases assessed / sectoral analysis</x:v>
      </x:c>
      <x:c r="H153" s="27" t="str">
        <x:v>S019</x:v>
      </x:c>
      <x:c r="I153" s="27" t="str">
        <x:v>3</x:v>
      </x:c>
      <x:c r="J153" s="27" t="str"/>
    </x:row>
    <x:row r="154">
      <x:c r="A154" s="27" t="str">
        <x:v>2019/20</x:v>
      </x:c>
      <x:c r="B154" s="27" t="str">
        <x:v>ICT</x:v>
      </x:c>
      <x:c r="C154" s="27" t="str">
        <x:v>ICT</x:v>
      </x:c>
      <x:c r="D154" s="27" t="str">
        <x:v>Top-level</x:v>
      </x:c>
      <x:c r="E154" s="27" t="str">
        <x:v>NR</x:v>
      </x:c>
      <x:c r="F154" s="34" t="n">
        <x:v>8</x:v>
      </x:c>
      <x:c r="G154" s="27" t="str">
        <x:v>Cases assessed / sectoral analysis</x:v>
      </x:c>
      <x:c r="H154" s="27" t="str">
        <x:v>S019</x:v>
      </x:c>
      <x:c r="I154" s="27" t="str">
        <x:v>3</x:v>
      </x:c>
      <x:c r="J154" s="27" t="str"/>
    </x:row>
    <x:row r="155">
      <x:c r="A155" s="27" t="str">
        <x:v>2019/20</x:v>
      </x:c>
      <x:c r="B155" s="27" t="str">
        <x:v>Transportation and storage</x:v>
      </x:c>
      <x:c r="C155" s="27" t="str">
        <x:v>Transport</x:v>
      </x:c>
      <x:c r="D155" s="27" t="str">
        <x:v>Top-level</x:v>
      </x:c>
      <x:c r="E155" s="27" t="str">
        <x:v>NR</x:v>
      </x:c>
      <x:c r="F155" s="34" t="n">
        <x:v>5</x:v>
      </x:c>
      <x:c r="G155" s="27" t="str">
        <x:v>Cases assessed / sectoral analysis</x:v>
      </x:c>
      <x:c r="H155" s="27" t="str">
        <x:v>S019</x:v>
      </x:c>
      <x:c r="I155" s="27" t="str">
        <x:v>3</x:v>
      </x:c>
      <x:c r="J155" s="27" t="str"/>
    </x:row>
    <x:row r="156">
      <x:c r="A156" s="27" t="str">
        <x:v>2019/20</x:v>
      </x:c>
      <x:c r="B156" s="27" t="str">
        <x:v>Mining</x:v>
      </x:c>
      <x:c r="C156" s="27" t="str">
        <x:v>Mining</x:v>
      </x:c>
      <x:c r="D156" s="27" t="str">
        <x:v>Top-level</x:v>
      </x:c>
      <x:c r="E156" s="27" t="str">
        <x:v>NR</x:v>
      </x:c>
      <x:c r="F156" s="34" t="n">
        <x:v>5</x:v>
      </x:c>
      <x:c r="G156" s="27" t="str">
        <x:v>Cases assessed / sectoral analysis</x:v>
      </x:c>
      <x:c r="H156" s="27" t="str">
        <x:v>S019</x:v>
      </x:c>
      <x:c r="I156" s="27" t="str">
        <x:v>3</x:v>
      </x:c>
      <x:c r="J156" s="27" t="str"/>
    </x:row>
    <x:row r="157">
      <x:c r="A157" s="27" t="str">
        <x:v>2019/20</x:v>
      </x:c>
      <x:c r="B157" s="27" t="str">
        <x:v>Construction</x:v>
      </x:c>
      <x:c r="C157" s="27" t="str">
        <x:v>Construction</x:v>
      </x:c>
      <x:c r="D157" s="27" t="str">
        <x:v>Top-level</x:v>
      </x:c>
      <x:c r="E157" s="27" t="str">
        <x:v>NR</x:v>
      </x:c>
      <x:c r="F157" s="34" t="n">
        <x:v>3</x:v>
      </x:c>
      <x:c r="G157" s="27" t="str">
        <x:v>Cases assessed / sectoral analysis</x:v>
      </x:c>
      <x:c r="H157" s="27" t="str">
        <x:v>S019</x:v>
      </x:c>
      <x:c r="I157" s="27" t="str">
        <x:v>3</x:v>
      </x:c>
      <x:c r="J157" s="27" t="str"/>
    </x:row>
    <x:row r="158">
      <x:c r="A158" s="27" t="str">
        <x:v>2019/20</x:v>
      </x:c>
      <x:c r="B158" s="27" t="str">
        <x:v>Electricity</x:v>
      </x:c>
      <x:c r="C158" s="27" t="str">
        <x:v>Energy</x:v>
      </x:c>
      <x:c r="D158" s="27" t="str">
        <x:v>Top-level</x:v>
      </x:c>
      <x:c r="E158" s="27" t="str">
        <x:v>NR</x:v>
      </x:c>
      <x:c r="F158" s="34" t="n">
        <x:v>3</x:v>
      </x:c>
      <x:c r="G158" s="27" t="str">
        <x:v>Cases assessed / sectoral analysis</x:v>
      </x:c>
      <x:c r="H158" s="27" t="str">
        <x:v>S019</x:v>
      </x:c>
      <x:c r="I158" s="27" t="str">
        <x:v>3</x:v>
      </x:c>
      <x:c r="J158" s="27" t="str"/>
    </x:row>
    <x:row r="159">
      <x:c r="A159" s="27" t="str">
        <x:v>2019/20</x:v>
      </x:c>
      <x:c r="B159" s="27" t="str">
        <x:v>Other service activities</x:v>
      </x:c>
      <x:c r="C159" s="27" t="str">
        <x:v>Other</x:v>
      </x:c>
      <x:c r="D159" s="27" t="str">
        <x:v>Top-level</x:v>
      </x:c>
      <x:c r="E159" s="27" t="str">
        <x:v>NR</x:v>
      </x:c>
      <x:c r="F159" s="34" t="n">
        <x:v>3</x:v>
      </x:c>
      <x:c r="G159" s="27" t="str">
        <x:v>Cases assessed / sectoral analysis</x:v>
      </x:c>
      <x:c r="H159" s="27" t="str">
        <x:v>S019</x:v>
      </x:c>
      <x:c r="I159" s="27" t="str">
        <x:v>3</x:v>
      </x:c>
      <x:c r="J159" s="27" t="str"/>
    </x:row>
    <x:row r="160">
      <x:c r="A160" s="27" t="str">
        <x:v>2019/20</x:v>
      </x:c>
      <x:c r="B160" s="27" t="str">
        <x:v>Professional, scientific and technical</x:v>
      </x:c>
      <x:c r="C160" s="27" t="str">
        <x:v>Professional services</x:v>
      </x:c>
      <x:c r="D160" s="27" t="str">
        <x:v>Top-level</x:v>
      </x:c>
      <x:c r="E160" s="27" t="str">
        <x:v>NR</x:v>
      </x:c>
      <x:c r="F160" s="34" t="n">
        <x:v>2</x:v>
      </x:c>
      <x:c r="G160" s="27" t="str">
        <x:v>Cases assessed / sectoral analysis</x:v>
      </x:c>
      <x:c r="H160" s="27" t="str">
        <x:v>S019</x:v>
      </x:c>
      <x:c r="I160" s="27" t="str">
        <x:v>3</x:v>
      </x:c>
      <x:c r="J160" s="27" t="str"/>
    </x:row>
    <x:row r="161">
      <x:c r="A161" s="27" t="str">
        <x:v>2019/20</x:v>
      </x:c>
      <x:c r="B161" s="27" t="str">
        <x:v>Agriculture</x:v>
      </x:c>
      <x:c r="C161" s="27" t="str">
        <x:v>Agriculture</x:v>
      </x:c>
      <x:c r="D161" s="27" t="str">
        <x:v>Top-level</x:v>
      </x:c>
      <x:c r="E161" s="27" t="str">
        <x:v>NR</x:v>
      </x:c>
      <x:c r="F161" s="34" t="n">
        <x:v>2</x:v>
      </x:c>
      <x:c r="G161" s="27" t="str">
        <x:v>Cases assessed / sectoral analysis</x:v>
      </x:c>
      <x:c r="H161" s="27" t="str">
        <x:v>S019</x:v>
      </x:c>
      <x:c r="I161" s="27" t="str">
        <x:v>3</x:v>
      </x:c>
      <x:c r="J161" s="27" t="str"/>
    </x:row>
    <x:row r="162">
      <x:c r="A162" s="27" t="str">
        <x:v>2019/20</x:v>
      </x:c>
      <x:c r="B162" s="27" t="str">
        <x:v>Health</x:v>
      </x:c>
      <x:c r="C162" s="27" t="str">
        <x:v>Health</x:v>
      </x:c>
      <x:c r="D162" s="27" t="str">
        <x:v>Top-level</x:v>
      </x:c>
      <x:c r="E162" s="27" t="str">
        <x:v>NR</x:v>
      </x:c>
      <x:c r="F162" s="34" t="n">
        <x:v>2</x:v>
      </x:c>
      <x:c r="G162" s="27" t="str">
        <x:v>Cases assessed / sectoral analysis</x:v>
      </x:c>
      <x:c r="H162" s="27" t="str">
        <x:v>S019</x:v>
      </x:c>
      <x:c r="I162" s="27" t="str">
        <x:v>3</x:v>
      </x:c>
      <x:c r="J162" s="27" t="str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df787c134f87473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7" hidden="0" customWidth="1"/>
    <x:col min="4" max="4" width="16" hidden="0" customWidth="1"/>
    <x:col min="5" max="5" width="11" hidden="0" customWidth="1"/>
    <x:col min="6" max="6" width="18" hidden="0" customWidth="1"/>
    <x:col min="7" max="7" width="17" hidden="0" customWidth="1"/>
    <x:col min="8" max="8" width="14" hidden="0" customWidth="1"/>
    <x:col min="9" max="9" width="14" hidden="0" customWidth="1"/>
    <x:col min="10" max="10" width="12" hidden="0" customWidth="1"/>
    <x:col min="11" max="11" width="15" hidden="0" customWidth="1"/>
    <x:col min="12" max="12" width="15" hidden="0" customWidth="1"/>
    <x:col min="13" max="13" width="13" hidden="0" customWidth="1"/>
    <x:col min="14" max="14" width="10" hidden="0" customWidth="1"/>
    <x:col min="15" max="15" width="10" hidden="0" customWidth="1"/>
    <x:col min="16" max="16" width="55" hidden="0" customWidth="1"/>
  </x:cols>
  <x:sheetData>
    <x:row r="1" ht="28" customHeight="1">
      <x:c r="A1" s="4" t="str">
        <x:v>Merger Outcomes and Remedies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2" customHeight="1">
      <x:c r="A2" s="11" t="str">
        <x:v>Aggregate outcomes are Commission-reported and do not always equal final Tribunal outcomes in large mergers. Remedy-detail coverage is intermittent.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</x:row>
    <x:row r="4" ht="30" customHeight="1">
      <x:c r="A4" s="20" t="str">
        <x:v>Financial year</x:v>
      </x:c>
      <x:c r="B4" s="20" t="str">
        <x:v>Finalised total</x:v>
      </x:c>
      <x:c r="C4" s="20" t="str">
        <x:v>Approved without conditions</x:v>
      </x:c>
      <x:c r="D4" s="20" t="str">
        <x:v>Approved with conditions</x:v>
      </x:c>
      <x:c r="E4" s="20" t="str">
        <x:v>Prohibited</x:v>
      </x:c>
      <x:c r="F4" s="20" t="str">
        <x:v>Withdrawn / no jurisdiction</x:v>
      </x:c>
      <x:c r="G4" s="20" t="str">
        <x:v>Conditional share of finalised</x:v>
      </x:c>
      <x:c r="H4" s="20" t="str">
        <x:v>Structural remedies</x:v>
      </x:c>
      <x:c r="I4" s="20" t="str">
        <x:v>Behavioural remedies</x:v>
      </x:c>
      <x:c r="J4" s="20" t="str">
        <x:v>Mixed remedies</x:v>
      </x:c>
      <x:c r="K4" s="20" t="str">
        <x:v>PI condition cases</x:v>
      </x:c>
      <x:c r="L4" s="20" t="str">
        <x:v>Conditions monitored</x:v>
      </x:c>
      <x:c r="M4" s="20" t="str">
        <x:v>Conditions closed</x:v>
      </x:c>
      <x:c r="N4" s="20" t="str">
        <x:v>Source_ID</x:v>
      </x:c>
      <x:c r="O4" s="20" t="str">
        <x:v>PDF page</x:v>
      </x:c>
      <x:c r="P4" s="20" t="str">
        <x:v>Remedy / comparability note</x:v>
      </x:c>
    </x:row>
    <x:row r="5">
      <x:c r="A5" s="27" t="str">
        <x:v>1999/00</x:v>
      </x:c>
      <x:c r="B5" s="27" t="n">
        <x:v>236</x:v>
      </x:c>
      <x:c r="C5" s="27" t="str">
        <x:v>NR</x:v>
      </x:c>
      <x:c r="D5" s="27" t="str">
        <x:v>NR</x:v>
      </x:c>
      <x:c r="E5" s="27" t="n">
        <x:v>5</x:v>
      </x:c>
      <x:c r="F5" s="27" t="n">
        <x:v>231</x:v>
      </x:c>
      <x:c r="G5" s="30" t="str">
        <x:f>IF(AND(ISNUMBER(D5),ISNUMBER(B5),B5&gt;0),D5/B5,"")</x:f>
      </x:c>
      <x:c r="H5" s="27" t="str">
        <x:v>NR</x:v>
      </x:c>
      <x:c r="I5" s="27" t="str">
        <x:v>NR</x:v>
      </x:c>
      <x:c r="J5" s="27" t="str">
        <x:v>NR</x:v>
      </x:c>
      <x:c r="K5" s="27" t="str">
        <x:v>NR</x:v>
      </x:c>
      <x:c r="L5" s="27" t="str">
        <x:v>NR</x:v>
      </x:c>
      <x:c r="M5" s="27" t="str">
        <x:v>NR</x:v>
      </x:c>
      <x:c r="N5" s="27" t="str">
        <x:v>S001</x:v>
      </x:c>
      <x:c r="O5" s="27" t="str">
        <x:v>2</x:v>
      </x:c>
      <x:c r="P5" s="27" t="str">
        <x:v>Commission-reported outcomes; large-merger recommendations are not always final Tribunal outcomes.</x:v>
      </x:c>
    </x:row>
    <x:row r="6">
      <x:c r="A6" s="27" t="str">
        <x:v>2000/01</x:v>
      </x:c>
      <x:c r="B6" s="27" t="n">
        <x:v>414</x:v>
      </x:c>
      <x:c r="C6" s="27" t="str">
        <x:v>NR</x:v>
      </x:c>
      <x:c r="D6" s="27" t="str">
        <x:v>NR</x:v>
      </x:c>
      <x:c r="E6" s="27" t="n">
        <x:v>3</x:v>
      </x:c>
      <x:c r="F6" s="27" t="n">
        <x:v>37</x:v>
      </x:c>
      <x:c r="G6" s="30" t="str">
        <x:f>IF(AND(ISNUMBER(D6),ISNUMBER(B6),B6&gt;0),D6/B6,"")</x:f>
      </x:c>
      <x:c r="H6" s="27" t="str">
        <x:v>NR</x:v>
      </x:c>
      <x:c r="I6" s="27" t="str">
        <x:v>NR</x:v>
      </x:c>
      <x:c r="J6" s="27" t="str">
        <x:v>NR</x:v>
      </x:c>
      <x:c r="K6" s="27" t="str">
        <x:v>NR</x:v>
      </x:c>
      <x:c r="L6" s="27" t="str">
        <x:v>NR</x:v>
      </x:c>
      <x:c r="M6" s="27" t="str">
        <x:v>NR</x:v>
      </x:c>
      <x:c r="N6" s="27" t="str">
        <x:v>S001</x:v>
      </x:c>
      <x:c r="O6" s="27" t="str">
        <x:v>2</x:v>
      </x:c>
      <x:c r="P6" s="27" t="str">
        <x:v>Commission-reported outcomes; large-merger recommendations are not always final Tribunal outcomes.</x:v>
      </x:c>
    </x:row>
    <x:row r="7">
      <x:c r="A7" s="27" t="str">
        <x:v>2001/02</x:v>
      </x:c>
      <x:c r="B7" s="27" t="n">
        <x:v>225</x:v>
      </x:c>
      <x:c r="C7" s="27" t="n">
        <x:v>213</x:v>
      </x:c>
      <x:c r="D7" s="27" t="n">
        <x:v>0</x:v>
      </x:c>
      <x:c r="E7" s="27" t="n">
        <x:v>2</x:v>
      </x:c>
      <x:c r="F7" s="27" t="n">
        <x:v>10</x:v>
      </x:c>
      <x:c r="G7" s="30" t="n">
        <x:f>IF(AND(ISNUMBER(D7),ISNUMBER(B7),B7&gt;0),D7/B7,"")</x:f>
        <x:v>0</x:v>
      </x:c>
      <x:c r="H7" s="27" t="str">
        <x:v>NR</x:v>
      </x:c>
      <x:c r="I7" s="27" t="str">
        <x:v>NR</x:v>
      </x:c>
      <x:c r="J7" s="27" t="str">
        <x:v>NR</x:v>
      </x:c>
      <x:c r="K7" s="27" t="str">
        <x:v>NR</x:v>
      </x:c>
      <x:c r="L7" s="27" t="str">
        <x:v>NR</x:v>
      </x:c>
      <x:c r="M7" s="27" t="str">
        <x:v>NR</x:v>
      </x:c>
      <x:c r="N7" s="27" t="str">
        <x:v>S002</x:v>
      </x:c>
      <x:c r="O7" s="27" t="str">
        <x:v>2</x:v>
      </x:c>
      <x:c r="P7" s="27" t="str">
        <x:v>Commission-reported outcomes; large-merger recommendations are not always final Tribunal outcomes.</x:v>
      </x:c>
    </x:row>
    <x:row r="8">
      <x:c r="A8" s="27" t="str">
        <x:v>2002/03</x:v>
      </x:c>
      <x:c r="B8" s="27" t="n">
        <x:v>202</x:v>
      </x:c>
      <x:c r="C8" s="27" t="n">
        <x:v>194</x:v>
      </x:c>
      <x:c r="D8" s="27" t="n">
        <x:v>5</x:v>
      </x:c>
      <x:c r="E8" s="27" t="n">
        <x:v>1</x:v>
      </x:c>
      <x:c r="F8" s="27" t="n">
        <x:v>7</x:v>
      </x:c>
      <x:c r="G8" s="30" t="n">
        <x:f>IF(AND(ISNUMBER(D8),ISNUMBER(B8),B8&gt;0),D8/B8,"")</x:f>
        <x:v>0.024752475247524754</x:v>
      </x:c>
      <x:c r="H8" s="27" t="str">
        <x:v>NR</x:v>
      </x:c>
      <x:c r="I8" s="27" t="str">
        <x:v>NR</x:v>
      </x:c>
      <x:c r="J8" s="27" t="str">
        <x:v>NR</x:v>
      </x:c>
      <x:c r="K8" s="27" t="str">
        <x:v>NR</x:v>
      </x:c>
      <x:c r="L8" s="27" t="str">
        <x:v>NR</x:v>
      </x:c>
      <x:c r="M8" s="27" t="str">
        <x:v>NR</x:v>
      </x:c>
      <x:c r="N8" s="27" t="str">
        <x:v>S002</x:v>
      </x:c>
      <x:c r="O8" s="27" t="str">
        <x:v>2</x:v>
      </x:c>
      <x:c r="P8" s="27" t="str">
        <x:v>Commission-reported outcomes; large-merger recommendations are not always final Tribunal outcomes.</x:v>
      </x:c>
    </x:row>
    <x:row r="9">
      <x:c r="A9" s="27" t="str">
        <x:v>2003/04</x:v>
      </x:c>
      <x:c r="B9" s="27" t="n">
        <x:v>278</x:v>
      </x:c>
      <x:c r="C9" s="27" t="n">
        <x:v>262</x:v>
      </x:c>
      <x:c r="D9" s="27" t="n">
        <x:v>7</x:v>
      </x:c>
      <x:c r="E9" s="27" t="n">
        <x:v>1</x:v>
      </x:c>
      <x:c r="F9" s="27" t="n">
        <x:v>8</x:v>
      </x:c>
      <x:c r="G9" s="30" t="n">
        <x:f>IF(AND(ISNUMBER(D9),ISNUMBER(B9),B9&gt;0),D9/B9,"")</x:f>
        <x:v>0.025179856115107913</x:v>
      </x:c>
      <x:c r="H9" s="27" t="str">
        <x:v>NR</x:v>
      </x:c>
      <x:c r="I9" s="27" t="str">
        <x:v>NR</x:v>
      </x:c>
      <x:c r="J9" s="27" t="str">
        <x:v>NR</x:v>
      </x:c>
      <x:c r="K9" s="27" t="str">
        <x:v>NR</x:v>
      </x:c>
      <x:c r="L9" s="27" t="str">
        <x:v>NR</x:v>
      </x:c>
      <x:c r="M9" s="27" t="str">
        <x:v>NR</x:v>
      </x:c>
      <x:c r="N9" s="27" t="str">
        <x:v>S003</x:v>
      </x:c>
      <x:c r="O9" s="27" t="str">
        <x:v>1</x:v>
      </x:c>
      <x:c r="P9" s="27" t="str">
        <x:v>Commission-reported outcomes; large-merger recommendations are not always final Tribunal outcomes.</x:v>
      </x:c>
    </x:row>
    <x:row r="10">
      <x:c r="A10" s="27" t="str">
        <x:v>2004/05</x:v>
      </x:c>
      <x:c r="B10" s="27" t="n">
        <x:v>301</x:v>
      </x:c>
      <x:c r="C10" s="27" t="n">
        <x:v>285</x:v>
      </x:c>
      <x:c r="D10" s="27" t="n">
        <x:v>9</x:v>
      </x:c>
      <x:c r="E10" s="27" t="n">
        <x:v>4</x:v>
      </x:c>
      <x:c r="F10" s="27" t="n">
        <x:v>3</x:v>
      </x:c>
      <x:c r="G10" s="30" t="n">
        <x:f>IF(AND(ISNUMBER(D10),ISNUMBER(B10),B10&gt;0),D10/B10,"")</x:f>
        <x:v>0.029900332225913623</x:v>
      </x:c>
      <x:c r="H10" s="27" t="str">
        <x:v>NR</x:v>
      </x:c>
      <x:c r="I10" s="27" t="str">
        <x:v>NR</x:v>
      </x:c>
      <x:c r="J10" s="27" t="str">
        <x:v>NR</x:v>
      </x:c>
      <x:c r="K10" s="27" t="n">
        <x:v>49</x:v>
      </x:c>
      <x:c r="L10" s="27" t="str">
        <x:v>NR</x:v>
      </x:c>
      <x:c r="M10" s="27" t="str">
        <x:v>NR</x:v>
      </x:c>
      <x:c r="N10" s="27" t="str">
        <x:v>S004</x:v>
      </x:c>
      <x:c r="O10" s="27" t="str">
        <x:v>1</x:v>
      </x:c>
      <x:c r="P10" s="27" t="str">
        <x:v>Commission-reported outcomes; large-merger recommendations are not always final Tribunal outcomes.</x:v>
      </x:c>
    </x:row>
    <x:row r="11">
      <x:c r="A11" s="27" t="str">
        <x:v>2005/06</x:v>
      </x:c>
      <x:c r="B11" s="27" t="n">
        <x:v>394</x:v>
      </x:c>
      <x:c r="C11" s="27" t="n">
        <x:v>376</x:v>
      </x:c>
      <x:c r="D11" s="27" t="n">
        <x:v>14</x:v>
      </x:c>
      <x:c r="E11" s="27" t="n">
        <x:v>4</x:v>
      </x:c>
      <x:c r="F11" s="27" t="n">
        <x:v>8</x:v>
      </x:c>
      <x:c r="G11" s="30" t="n">
        <x:f>IF(AND(ISNUMBER(D11),ISNUMBER(B11),B11&gt;0),D11/B11,"")</x:f>
        <x:v>0.03553299492385787</x:v>
      </x:c>
      <x:c r="H11" s="27" t="str">
        <x:v>NR</x:v>
      </x:c>
      <x:c r="I11" s="27" t="str">
        <x:v>NR</x:v>
      </x:c>
      <x:c r="J11" s="27" t="str">
        <x:v>NR</x:v>
      </x:c>
      <x:c r="K11" s="27" t="n">
        <x:v>64</x:v>
      </x:c>
      <x:c r="L11" s="27" t="str">
        <x:v>NR</x:v>
      </x:c>
      <x:c r="M11" s="27" t="str">
        <x:v>NR</x:v>
      </x:c>
      <x:c r="N11" s="27" t="str">
        <x:v>S005</x:v>
      </x:c>
      <x:c r="O11" s="27" t="str">
        <x:v>2</x:v>
      </x:c>
      <x:c r="P11" s="27" t="str">
        <x:v>Commission-reported outcomes; large-merger recommendations are not always final Tribunal outcomes.</x:v>
      </x:c>
    </x:row>
    <x:row r="12">
      <x:c r="A12" s="27" t="str">
        <x:v>2006/07</x:v>
      </x:c>
      <x:c r="B12" s="27" t="n">
        <x:v>410</x:v>
      </x:c>
      <x:c r="C12" s="27" t="n">
        <x:v>386</x:v>
      </x:c>
      <x:c r="D12" s="27" t="n">
        <x:v>7</x:v>
      </x:c>
      <x:c r="E12" s="27" t="n">
        <x:v>4</x:v>
      </x:c>
      <x:c r="F12" s="27" t="n">
        <x:v>13</x:v>
      </x:c>
      <x:c r="G12" s="30" t="n">
        <x:f>IF(AND(ISNUMBER(D12),ISNUMBER(B12),B12&gt;0),D12/B12,"")</x:f>
        <x:v>0.01707317073170732</x:v>
      </x:c>
      <x:c r="H12" s="27" t="str">
        <x:v>NR</x:v>
      </x:c>
      <x:c r="I12" s="27" t="str">
        <x:v>NR</x:v>
      </x:c>
      <x:c r="J12" s="27" t="str">
        <x:v>NR</x:v>
      </x:c>
      <x:c r="K12" s="27" t="str">
        <x:v>NR</x:v>
      </x:c>
      <x:c r="L12" s="27" t="str">
        <x:v>NR</x:v>
      </x:c>
      <x:c r="M12" s="27" t="str">
        <x:v>NR</x:v>
      </x:c>
      <x:c r="N12" s="27" t="str">
        <x:v>S006</x:v>
      </x:c>
      <x:c r="O12" s="27" t="str">
        <x:v>1</x:v>
      </x:c>
      <x:c r="P12" s="27" t="str">
        <x:v>Commission-reported outcomes; large-merger recommendations are not always final Tribunal outcomes.</x:v>
      </x:c>
    </x:row>
    <x:row r="13">
      <x:c r="A13" s="27" t="str">
        <x:v>2007/08</x:v>
      </x:c>
      <x:c r="B13" s="27" t="n">
        <x:v>480</x:v>
      </x:c>
      <x:c r="C13" s="27" t="n">
        <x:v>455</x:v>
      </x:c>
      <x:c r="D13" s="27" t="n">
        <x:v>11</x:v>
      </x:c>
      <x:c r="E13" s="27" t="n">
        <x:v>3</x:v>
      </x:c>
      <x:c r="F13" s="27" t="n">
        <x:v>11</x:v>
      </x:c>
      <x:c r="G13" s="30" t="n">
        <x:f>IF(AND(ISNUMBER(D13),ISNUMBER(B13),B13&gt;0),D13/B13,"")</x:f>
        <x:v>0.022916666666666665</x:v>
      </x:c>
      <x:c r="H13" s="27" t="str">
        <x:v>NR</x:v>
      </x:c>
      <x:c r="I13" s="27" t="str">
        <x:v>NR</x:v>
      </x:c>
      <x:c r="J13" s="27" t="str">
        <x:v>NR</x:v>
      </x:c>
      <x:c r="K13" s="27" t="str">
        <x:v>NR</x:v>
      </x:c>
      <x:c r="L13" s="27" t="str">
        <x:v>NR</x:v>
      </x:c>
      <x:c r="M13" s="27" t="str">
        <x:v>NR</x:v>
      </x:c>
      <x:c r="N13" s="27" t="str">
        <x:v>S007</x:v>
      </x:c>
      <x:c r="O13" s="27" t="str">
        <x:v>2</x:v>
      </x:c>
      <x:c r="P13" s="27" t="str">
        <x:v>Commission-reported outcomes; large-merger recommendations are not always final Tribunal outcomes.</x:v>
      </x:c>
    </x:row>
    <x:row r="14">
      <x:c r="A14" s="27" t="str">
        <x:v>2008/09</x:v>
      </x:c>
      <x:c r="B14" s="27" t="n">
        <x:v>458</x:v>
      </x:c>
      <x:c r="C14" s="27" t="n">
        <x:v>424</x:v>
      </x:c>
      <x:c r="D14" s="27" t="n">
        <x:v>9</x:v>
      </x:c>
      <x:c r="E14" s="27" t="n">
        <x:v>8</x:v>
      </x:c>
      <x:c r="F14" s="27" t="n">
        <x:v>17</x:v>
      </x:c>
      <x:c r="G14" s="30" t="n">
        <x:f>IF(AND(ISNUMBER(D14),ISNUMBER(B14),B14&gt;0),D14/B14,"")</x:f>
        <x:v>0.019650655021834062</x:v>
      </x:c>
      <x:c r="H14" s="27" t="str">
        <x:v>NR</x:v>
      </x:c>
      <x:c r="I14" s="27" t="str">
        <x:v>NR</x:v>
      </x:c>
      <x:c r="J14" s="27" t="str">
        <x:v>NR</x:v>
      </x:c>
      <x:c r="K14" s="27" t="str">
        <x:v>NR</x:v>
      </x:c>
      <x:c r="L14" s="27" t="str">
        <x:v>NR</x:v>
      </x:c>
      <x:c r="M14" s="27" t="str">
        <x:v>NR</x:v>
      </x:c>
      <x:c r="N14" s="27" t="str">
        <x:v>S009</x:v>
      </x:c>
      <x:c r="O14" s="27" t="str">
        <x:v>1</x:v>
      </x:c>
      <x:c r="P14" s="27" t="str">
        <x:v>Commission-reported outcomes; large-merger recommendations are not always final Tribunal outcomes.</x:v>
      </x:c>
    </x:row>
    <x:row r="15">
      <x:c r="A15" s="27" t="str">
        <x:v>2009/10</x:v>
      </x:c>
      <x:c r="B15" s="27" t="n">
        <x:v>208</x:v>
      </x:c>
      <x:c r="C15" s="27" t="n">
        <x:v>190</x:v>
      </x:c>
      <x:c r="D15" s="27" t="n">
        <x:v>8</x:v>
      </x:c>
      <x:c r="E15" s="27" t="n">
        <x:v>1</x:v>
      </x:c>
      <x:c r="F15" s="27" t="n">
        <x:v>9</x:v>
      </x:c>
      <x:c r="G15" s="30" t="n">
        <x:f>IF(AND(ISNUMBER(D15),ISNUMBER(B15),B15&gt;0),D15/B15,"")</x:f>
        <x:v>0.038461538461538464</x:v>
      </x:c>
      <x:c r="H15" s="27" t="str">
        <x:v>NR</x:v>
      </x:c>
      <x:c r="I15" s="27" t="str">
        <x:v>NR</x:v>
      </x:c>
      <x:c r="J15" s="27" t="str">
        <x:v>NR</x:v>
      </x:c>
      <x:c r="K15" s="27" t="n">
        <x:v>11</x:v>
      </x:c>
      <x:c r="L15" s="27" t="str">
        <x:v>NR</x:v>
      </x:c>
      <x:c r="M15" s="27" t="str">
        <x:v>NR</x:v>
      </x:c>
      <x:c r="N15" s="27" t="str">
        <x:v>S009</x:v>
      </x:c>
      <x:c r="O15" s="27" t="str">
        <x:v>1</x:v>
      </x:c>
      <x:c r="P15" s="27" t="str">
        <x:v>Commission-reported outcomes; large-merger recommendations are not always final Tribunal outcomes.</x:v>
      </x:c>
    </x:row>
    <x:row r="16">
      <x:c r="A16" s="27" t="str">
        <x:v>2010/11</x:v>
      </x:c>
      <x:c r="B16" s="27" t="n">
        <x:v>220</x:v>
      </x:c>
      <x:c r="C16" s="27" t="n">
        <x:v>200</x:v>
      </x:c>
      <x:c r="D16" s="27" t="n">
        <x:v>14</x:v>
      </x:c>
      <x:c r="E16" s="27" t="n">
        <x:v>2</x:v>
      </x:c>
      <x:c r="F16" s="27" t="n">
        <x:v>4</x:v>
      </x:c>
      <x:c r="G16" s="30" t="n">
        <x:f>IF(AND(ISNUMBER(D16),ISNUMBER(B16),B16&gt;0),D16/B16,"")</x:f>
        <x:v>0.06363636363636363</x:v>
      </x:c>
      <x:c r="H16" s="27" t="str">
        <x:v>NR</x:v>
      </x:c>
      <x:c r="I16" s="27" t="str">
        <x:v>NR</x:v>
      </x:c>
      <x:c r="J16" s="27" t="str">
        <x:v>NR</x:v>
      </x:c>
      <x:c r="K16" s="27" t="str">
        <x:v>NR</x:v>
      </x:c>
      <x:c r="L16" s="27" t="str">
        <x:v>NR</x:v>
      </x:c>
      <x:c r="M16" s="27" t="str">
        <x:v>NR</x:v>
      </x:c>
      <x:c r="N16" s="27" t="str">
        <x:v>S011</x:v>
      </x:c>
      <x:c r="O16" s="27" t="str">
        <x:v>5</x:v>
      </x:c>
      <x:c r="P16" s="27" t="str">
        <x:v>Commission-reported outcomes; large-merger recommendations are not always final Tribunal outcomes.</x:v>
      </x:c>
    </x:row>
    <x:row r="17">
      <x:c r="A17" s="27" t="str">
        <x:v>2011/12</x:v>
      </x:c>
      <x:c r="B17" s="27" t="n">
        <x:v>282</x:v>
      </x:c>
      <x:c r="C17" s="27" t="n">
        <x:v>234</x:v>
      </x:c>
      <x:c r="D17" s="27" t="n">
        <x:v>33</x:v>
      </x:c>
      <x:c r="E17" s="27" t="n">
        <x:v>8</x:v>
      </x:c>
      <x:c r="F17" s="27" t="n">
        <x:v>7</x:v>
      </x:c>
      <x:c r="G17" s="30" t="n">
        <x:f>IF(AND(ISNUMBER(D17),ISNUMBER(B17),B17&gt;0),D17/B17,"")</x:f>
        <x:v>0.11702127659574468</x:v>
      </x:c>
      <x:c r="H17" s="27" t="n">
        <x:v>7</x:v>
      </x:c>
      <x:c r="I17" s="27" t="n">
        <x:v>24</x:v>
      </x:c>
      <x:c r="J17" s="27" t="n">
        <x:v>2</x:v>
      </x:c>
      <x:c r="K17" s="27" t="str">
        <x:v>NR</x:v>
      </x:c>
      <x:c r="L17" s="27" t="str">
        <x:v>NR</x:v>
      </x:c>
      <x:c r="M17" s="27" t="str">
        <x:v>NR</x:v>
      </x:c>
      <x:c r="N17" s="27" t="str">
        <x:v>S011</x:v>
      </x:c>
      <x:c r="O17" s="27" t="str">
        <x:v>5</x:v>
      </x:c>
      <x:c r="P17" s="27" t="str">
        <x:v>Commission-reported outcomes; large-merger recommendations are not always final Tribunal outcomes.</x:v>
      </x:c>
    </x:row>
    <x:row r="18">
      <x:c r="A18" s="27" t="str">
        <x:v>2012/13</x:v>
      </x:c>
      <x:c r="B18" s="27" t="n">
        <x:v>327</x:v>
      </x:c>
      <x:c r="C18" s="27" t="n">
        <x:v>278</x:v>
      </x:c>
      <x:c r="D18" s="27" t="n">
        <x:v>37</x:v>
      </x:c>
      <x:c r="E18" s="27" t="n">
        <x:v>0</x:v>
      </x:c>
      <x:c r="F18" s="27" t="n">
        <x:v>12</x:v>
      </x:c>
      <x:c r="G18" s="30" t="n">
        <x:f>IF(AND(ISNUMBER(D18),ISNUMBER(B18),B18&gt;0),D18/B18,"")</x:f>
        <x:v>0.11314984709480122</x:v>
      </x:c>
      <x:c r="H18" s="27" t="n">
        <x:v>7</x:v>
      </x:c>
      <x:c r="I18" s="27" t="n">
        <x:v>28</x:v>
      </x:c>
      <x:c r="J18" s="27" t="n">
        <x:v>2</x:v>
      </x:c>
      <x:c r="K18" s="27" t="str">
        <x:v>NR</x:v>
      </x:c>
      <x:c r="L18" s="27" t="str">
        <x:v>NR</x:v>
      </x:c>
      <x:c r="M18" s="27" t="str">
        <x:v>NR</x:v>
      </x:c>
      <x:c r="N18" s="27" t="str">
        <x:v>S012</x:v>
      </x:c>
      <x:c r="O18" s="27" t="str">
        <x:v>3</x:v>
      </x:c>
      <x:c r="P18" s="27" t="str">
        <x:v>Commission-reported outcomes; large-merger recommendations are not always final Tribunal outcomes.</x:v>
      </x:c>
    </x:row>
    <x:row r="19">
      <x:c r="A19" s="27" t="str">
        <x:v>2013/14</x:v>
      </x:c>
      <x:c r="B19" s="27" t="n">
        <x:v>329</x:v>
      </x:c>
      <x:c r="C19" s="27" t="n">
        <x:v>302</x:v>
      </x:c>
      <x:c r="D19" s="27" t="n">
        <x:v>22</x:v>
      </x:c>
      <x:c r="E19" s="27" t="n">
        <x:v>1</x:v>
      </x:c>
      <x:c r="F19" s="27" t="n">
        <x:v>4</x:v>
      </x:c>
      <x:c r="G19" s="30" t="n">
        <x:f>IF(AND(ISNUMBER(D19),ISNUMBER(B19),B19&gt;0),D19/B19,"")</x:f>
        <x:v>0.0668693009118541</x:v>
      </x:c>
      <x:c r="H19" s="27" t="str">
        <x:v>NR</x:v>
      </x:c>
      <x:c r="I19" s="27" t="str">
        <x:v>NR</x:v>
      </x:c>
      <x:c r="J19" s="27" t="str">
        <x:v>NR</x:v>
      </x:c>
      <x:c r="K19" s="27" t="n">
        <x:v>10</x:v>
      </x:c>
      <x:c r="L19" s="27" t="str">
        <x:v>NR</x:v>
      </x:c>
      <x:c r="M19" s="27" t="str">
        <x:v>NR</x:v>
      </x:c>
      <x:c r="N19" s="27" t="str">
        <x:v>S013</x:v>
      </x:c>
      <x:c r="O19" s="27" t="str">
        <x:v>3</x:v>
      </x:c>
      <x:c r="P19" s="27" t="str">
        <x:v>Commission-reported outcomes; large-merger recommendations are not always final Tribunal outcomes.</x:v>
      </x:c>
    </x:row>
    <x:row r="20">
      <x:c r="A20" s="27" t="str">
        <x:v>2014/15</x:v>
      </x:c>
      <x:c r="B20" s="27" t="n">
        <x:v>375</x:v>
      </x:c>
      <x:c r="C20" s="27" t="n">
        <x:v>321</x:v>
      </x:c>
      <x:c r="D20" s="27" t="n">
        <x:v>43</x:v>
      </x:c>
      <x:c r="E20" s="27" t="n">
        <x:v>5</x:v>
      </x:c>
      <x:c r="F20" s="27" t="n">
        <x:v>6</x:v>
      </x:c>
      <x:c r="G20" s="30" t="n">
        <x:f>IF(AND(ISNUMBER(D20),ISNUMBER(B20),B20&gt;0),D20/B20,"")</x:f>
        <x:v>0.11466666666666667</x:v>
      </x:c>
      <x:c r="H20" s="27" t="str">
        <x:v>NR</x:v>
      </x:c>
      <x:c r="I20" s="27" t="str">
        <x:v>NR</x:v>
      </x:c>
      <x:c r="J20" s="27" t="str">
        <x:v>NR</x:v>
      </x:c>
      <x:c r="K20" s="27" t="n">
        <x:v>39</x:v>
      </x:c>
      <x:c r="L20" s="27" t="str">
        <x:v>&gt;100</x:v>
      </x:c>
      <x:c r="M20" s="27" t="n">
        <x:v>52</x:v>
      </x:c>
      <x:c r="N20" s="27" t="str">
        <x:v>S014</x:v>
      </x:c>
      <x:c r="O20" s="27" t="str">
        <x:v>2</x:v>
      </x:c>
      <x:c r="P20" s="27" t="str">
        <x:v>Commission-reported outcomes; large-merger recommendations are not always final Tribunal outcomes.</x:v>
      </x:c>
    </x:row>
    <x:row r="21">
      <x:c r="A21" s="27" t="str">
        <x:v>2015/16</x:v>
      </x:c>
      <x:c r="B21" s="27" t="n">
        <x:v>413</x:v>
      </x:c>
      <x:c r="C21" s="27" t="n">
        <x:v>364</x:v>
      </x:c>
      <x:c r="D21" s="27" t="n">
        <x:v>37</x:v>
      </x:c>
      <x:c r="E21" s="27" t="n">
        <x:v>7</x:v>
      </x:c>
      <x:c r="F21" s="27" t="n">
        <x:v>5</x:v>
      </x:c>
      <x:c r="G21" s="30" t="n">
        <x:f>IF(AND(ISNUMBER(D21),ISNUMBER(B21),B21&gt;0),D21/B21,"")</x:f>
        <x:v>0.08958837772397095</x:v>
      </x:c>
      <x:c r="H21" s="27" t="str">
        <x:v>NR</x:v>
      </x:c>
      <x:c r="I21" s="27" t="str">
        <x:v>NR</x:v>
      </x:c>
      <x:c r="J21" s="27" t="str">
        <x:v>NR</x:v>
      </x:c>
      <x:c r="K21" s="27" t="n">
        <x:v>28</x:v>
      </x:c>
      <x:c r="L21" s="27" t="str">
        <x:v>NR</x:v>
      </x:c>
      <x:c r="M21" s="27" t="str">
        <x:v>NR</x:v>
      </x:c>
      <x:c r="N21" s="27" t="str">
        <x:v>S015</x:v>
      </x:c>
      <x:c r="O21" s="27" t="str">
        <x:v>4</x:v>
      </x:c>
      <x:c r="P21" s="27" t="str">
        <x:v>Commission-reported outcomes; large-merger recommendations are not always final Tribunal outcomes.</x:v>
      </x:c>
    </x:row>
    <x:row r="22">
      <x:c r="A22" s="27" t="str">
        <x:v>2016/17</x:v>
      </x:c>
      <x:c r="B22" s="27" t="n">
        <x:v>385</x:v>
      </x:c>
      <x:c r="C22" s="27" t="n">
        <x:v>349</x:v>
      </x:c>
      <x:c r="D22" s="27" t="n">
        <x:v>31</x:v>
      </x:c>
      <x:c r="E22" s="27" t="n">
        <x:v>5</x:v>
      </x:c>
      <x:c r="F22" s="27" t="n">
        <x:v>3</x:v>
      </x:c>
      <x:c r="G22" s="30" t="n">
        <x:f>IF(AND(ISNUMBER(D22),ISNUMBER(B22),B22&gt;0),D22/B22,"")</x:f>
        <x:v>0.08051948051948052</x:v>
      </x:c>
      <x:c r="H22" s="27" t="str">
        <x:v>NR</x:v>
      </x:c>
      <x:c r="I22" s="27" t="str">
        <x:v>NR</x:v>
      </x:c>
      <x:c r="J22" s="27" t="str">
        <x:v>NR</x:v>
      </x:c>
      <x:c r="K22" s="27" t="n">
        <x:v>15</x:v>
      </x:c>
      <x:c r="L22" s="27" t="str">
        <x:v>NR</x:v>
      </x:c>
      <x:c r="M22" s="27" t="str">
        <x:v>NR</x:v>
      </x:c>
      <x:c r="N22" s="27" t="str">
        <x:v>S016</x:v>
      </x:c>
      <x:c r="O22" s="27" t="str">
        <x:v>4</x:v>
      </x:c>
      <x:c r="P22" s="27" t="str">
        <x:v>Commission-reported outcomes; large-merger recommendations are not always final Tribunal outcomes.</x:v>
      </x:c>
    </x:row>
    <x:row r="23">
      <x:c r="A23" s="27" t="str">
        <x:v>2017/18</x:v>
      </x:c>
      <x:c r="B23" s="27" t="n">
        <x:v>388</x:v>
      </x:c>
      <x:c r="C23" s="27" t="n">
        <x:v>325</x:v>
      </x:c>
      <x:c r="D23" s="27" t="n">
        <x:v>52</x:v>
      </x:c>
      <x:c r="E23" s="27" t="n">
        <x:v>12</x:v>
      </x:c>
      <x:c r="F23" s="27" t="n">
        <x:v>9</x:v>
      </x:c>
      <x:c r="G23" s="30" t="n">
        <x:f>IF(AND(ISNUMBER(D23),ISNUMBER(B23),B23&gt;0),D23/B23,"")</x:f>
        <x:v>0.13402061855670103</x:v>
      </x:c>
      <x:c r="H23" s="27" t="str">
        <x:v>NR</x:v>
      </x:c>
      <x:c r="I23" s="27" t="str">
        <x:v>NR</x:v>
      </x:c>
      <x:c r="J23" s="27" t="str">
        <x:v>NR</x:v>
      </x:c>
      <x:c r="K23" s="27" t="n">
        <x:v>32</x:v>
      </x:c>
      <x:c r="L23" s="27" t="str">
        <x:v>NR</x:v>
      </x:c>
      <x:c r="M23" s="27" t="str">
        <x:v>NR</x:v>
      </x:c>
      <x:c r="N23" s="27" t="str">
        <x:v>S017</x:v>
      </x:c>
      <x:c r="O23" s="27" t="str">
        <x:v>8</x:v>
      </x:c>
      <x:c r="P23" s="27" t="str">
        <x:v>Commission-reported outcomes; large-merger recommendations are not always final Tribunal outcomes.</x:v>
      </x:c>
    </x:row>
    <x:row r="24">
      <x:c r="A24" s="27" t="str">
        <x:v>2018/19</x:v>
      </x:c>
      <x:c r="B24" s="27" t="n">
        <x:v>336</x:v>
      </x:c>
      <x:c r="C24" s="27" t="n">
        <x:v>287</x:v>
      </x:c>
      <x:c r="D24" s="27" t="n">
        <x:v>41</x:v>
      </x:c>
      <x:c r="E24" s="27" t="n">
        <x:v>4</x:v>
      </x:c>
      <x:c r="F24" s="27" t="n">
        <x:v>4</x:v>
      </x:c>
      <x:c r="G24" s="30" t="n">
        <x:f>IF(AND(ISNUMBER(D24),ISNUMBER(B24),B24&gt;0),D24/B24,"")</x:f>
        <x:v>0.12202380952380952</x:v>
      </x:c>
      <x:c r="H24" s="27" t="str">
        <x:v>NR</x:v>
      </x:c>
      <x:c r="I24" s="27" t="str">
        <x:v>NR</x:v>
      </x:c>
      <x:c r="J24" s="27" t="str">
        <x:v>NR</x:v>
      </x:c>
      <x:c r="K24" s="27" t="n">
        <x:v>45</x:v>
      </x:c>
      <x:c r="L24" s="27" t="str">
        <x:v>NR</x:v>
      </x:c>
      <x:c r="M24" s="27" t="str">
        <x:v>NR</x:v>
      </x:c>
      <x:c r="N24" s="27" t="str">
        <x:v>S018</x:v>
      </x:c>
      <x:c r="O24" s="27" t="str">
        <x:v>3</x:v>
      </x:c>
      <x:c r="P24" s="27" t="str">
        <x:v>Commission-reported outcomes; large-merger recommendations are not always final Tribunal outcomes.</x:v>
      </x:c>
    </x:row>
    <x:row r="25">
      <x:c r="A25" s="27" t="str">
        <x:v>2019/20</x:v>
      </x:c>
      <x:c r="B25" s="27" t="n">
        <x:v>318</x:v>
      </x:c>
      <x:c r="C25" s="27" t="n">
        <x:v>278</x:v>
      </x:c>
      <x:c r="D25" s="27" t="n">
        <x:v>33</x:v>
      </x:c>
      <x:c r="E25" s="27" t="n">
        <x:v>7</x:v>
      </x:c>
      <x:c r="F25" s="27" t="n">
        <x:v>3</x:v>
      </x:c>
      <x:c r="G25" s="30" t="n">
        <x:f>IF(AND(ISNUMBER(D25),ISNUMBER(B25),B25&gt;0),D25/B25,"")</x:f>
        <x:v>0.10377358490566038</x:v>
      </x:c>
      <x:c r="H25" s="27" t="str">
        <x:v>NR</x:v>
      </x:c>
      <x:c r="I25" s="27" t="str">
        <x:v>NR</x:v>
      </x:c>
      <x:c r="J25" s="27" t="str">
        <x:v>NR</x:v>
      </x:c>
      <x:c r="K25" s="27" t="n">
        <x:v>30</x:v>
      </x:c>
      <x:c r="L25" s="27" t="str">
        <x:v>NR</x:v>
      </x:c>
      <x:c r="M25" s="27" t="str">
        <x:v>NR</x:v>
      </x:c>
      <x:c r="N25" s="27" t="str">
        <x:v>S019</x:v>
      </x:c>
      <x:c r="O25" s="27" t="str">
        <x:v>2</x:v>
      </x:c>
      <x:c r="P25" s="27" t="str">
        <x:v>Commission-reported outcomes; large-merger recommendations are not always final Tribunal outcomes.</x:v>
      </x:c>
    </x:row>
    <x:row r="26">
      <x:c r="A26" s="27" t="str">
        <x:v>2020/21</x:v>
      </x:c>
      <x:c r="B26" s="27" t="n">
        <x:v>225</x:v>
      </x:c>
      <x:c r="C26" s="27" t="n">
        <x:v>189</x:v>
      </x:c>
      <x:c r="D26" s="27" t="n">
        <x:v>34</x:v>
      </x:c>
      <x:c r="E26" s="27" t="n">
        <x:v>2</x:v>
      </x:c>
      <x:c r="F26" s="27" t="n">
        <x:v>2</x:v>
      </x:c>
      <x:c r="G26" s="30" t="n">
        <x:f>IF(AND(ISNUMBER(D26),ISNUMBER(B26),B26&gt;0),D26/B26,"")</x:f>
        <x:v>0.1511111111111111</x:v>
      </x:c>
      <x:c r="H26" s="27" t="str">
        <x:v>NR</x:v>
      </x:c>
      <x:c r="I26" s="27" t="str">
        <x:v>NR</x:v>
      </x:c>
      <x:c r="J26" s="27" t="str">
        <x:v>NR</x:v>
      </x:c>
      <x:c r="K26" s="27" t="n">
        <x:v>34</x:v>
      </x:c>
      <x:c r="L26" s="27" t="str">
        <x:v>NR</x:v>
      </x:c>
      <x:c r="M26" s="27" t="str">
        <x:v>NR</x:v>
      </x:c>
      <x:c r="N26" s="27" t="str">
        <x:v>S020</x:v>
      </x:c>
      <x:c r="O26" s="27" t="str">
        <x:v>3</x:v>
      </x:c>
      <x:c r="P26" s="27" t="str">
        <x:v>Commission-reported outcomes; large-merger recommendations are not always final Tribunal outcomes.</x:v>
      </x:c>
    </x:row>
    <x:row r="27">
      <x:c r="A27" s="27" t="str">
        <x:v>2021/22</x:v>
      </x:c>
      <x:c r="B27" s="27" t="n">
        <x:v>297</x:v>
      </x:c>
      <x:c r="C27" s="27" t="n">
        <x:v>216</x:v>
      </x:c>
      <x:c r="D27" s="27" t="n">
        <x:v>74</x:v>
      </x:c>
      <x:c r="E27" s="27" t="n">
        <x:v>5</x:v>
      </x:c>
      <x:c r="F27" s="27" t="n">
        <x:v>2</x:v>
      </x:c>
      <x:c r="G27" s="30" t="n">
        <x:f>IF(AND(ISNUMBER(D27),ISNUMBER(B27),B27&gt;0),D27/B27,"")</x:f>
        <x:v>0.24915824915824916</x:v>
      </x:c>
      <x:c r="H27" s="27" t="str">
        <x:v>NR</x:v>
      </x:c>
      <x:c r="I27" s="27" t="str">
        <x:v>NR</x:v>
      </x:c>
      <x:c r="J27" s="27" t="str">
        <x:v>NR</x:v>
      </x:c>
      <x:c r="K27" s="27" t="n">
        <x:v>74</x:v>
      </x:c>
      <x:c r="L27" s="27" t="str">
        <x:v>NR</x:v>
      </x:c>
      <x:c r="M27" s="27" t="str">
        <x:v>NR</x:v>
      </x:c>
      <x:c r="N27" s="27" t="str">
        <x:v>S021</x:v>
      </x:c>
      <x:c r="O27" s="27" t="str">
        <x:v>2</x:v>
      </x:c>
      <x:c r="P27" s="27" t="str">
        <x:v>Commission-reported outcomes; large-merger recommendations are not always final Tribunal outcomes.</x:v>
      </x:c>
    </x:row>
    <x:row r="28">
      <x:c r="A28" s="27" t="str">
        <x:v>2022/23</x:v>
      </x:c>
      <x:c r="B28" s="27" t="n">
        <x:v>258</x:v>
      </x:c>
      <x:c r="C28" s="27" t="n">
        <x:v>189</x:v>
      </x:c>
      <x:c r="D28" s="27" t="n">
        <x:v>68</x:v>
      </x:c>
      <x:c r="E28" s="27" t="n">
        <x:v>1</x:v>
      </x:c>
      <x:c r="F28" s="27" t="n">
        <x:v>6</x:v>
      </x:c>
      <x:c r="G28" s="30" t="n">
        <x:f>IF(AND(ISNUMBER(D28),ISNUMBER(B28),B28&gt;0),D28/B28,"")</x:f>
        <x:v>0.26356589147286824</x:v>
      </x:c>
      <x:c r="H28" s="27" t="str">
        <x:v>NR</x:v>
      </x:c>
      <x:c r="I28" s="27" t="str">
        <x:v>NR</x:v>
      </x:c>
      <x:c r="J28" s="27" t="str">
        <x:v>NR</x:v>
      </x:c>
      <x:c r="K28" s="27" t="n">
        <x:v>68</x:v>
      </x:c>
      <x:c r="L28" s="27" t="str">
        <x:v>NR</x:v>
      </x:c>
      <x:c r="M28" s="27" t="str">
        <x:v>NR</x:v>
      </x:c>
      <x:c r="N28" s="27" t="str">
        <x:v>S022</x:v>
      </x:c>
      <x:c r="O28" s="27" t="str">
        <x:v>4</x:v>
      </x:c>
      <x:c r="P28" s="27" t="str">
        <x:v>Commission-reported outcomes; large-merger recommendations are not always final Tribunal outcomes.</x:v>
      </x:c>
    </x:row>
    <x:row r="29">
      <x:c r="A29" s="27" t="str">
        <x:v>2023/24</x:v>
      </x:c>
      <x:c r="B29" s="27" t="n">
        <x:v>266</x:v>
      </x:c>
      <x:c r="C29" s="27" t="n">
        <x:v>136</x:v>
      </x:c>
      <x:c r="D29" s="27" t="n">
        <x:v>126</x:v>
      </x:c>
      <x:c r="E29" s="27" t="n">
        <x:v>1</x:v>
      </x:c>
      <x:c r="F29" s="27" t="n">
        <x:v>3</x:v>
      </x:c>
      <x:c r="G29" s="30" t="n">
        <x:f>IF(AND(ISNUMBER(D29),ISNUMBER(B29),B29&gt;0),D29/B29,"")</x:f>
        <x:v>0.47368421052631576</x:v>
      </x:c>
      <x:c r="H29" s="27" t="str">
        <x:v>NR</x:v>
      </x:c>
      <x:c r="I29" s="27" t="str">
        <x:v>NR</x:v>
      </x:c>
      <x:c r="J29" s="27" t="str">
        <x:v>NR</x:v>
      </x:c>
      <x:c r="K29" s="27" t="n">
        <x:v>126</x:v>
      </x:c>
      <x:c r="L29" s="27" t="str">
        <x:v>NR</x:v>
      </x:c>
      <x:c r="M29" s="27" t="str">
        <x:v>NR</x:v>
      </x:c>
      <x:c r="N29" s="27" t="str">
        <x:v>S023</x:v>
      </x:c>
      <x:c r="O29" s="27" t="str">
        <x:v>3-4</x:v>
      </x:c>
      <x:c r="P29" s="27" t="str">
        <x:v>Commission-reported outcomes; large-merger recommendations are not always final Tribunal outcomes.</x:v>
      </x:c>
    </x:row>
    <x:row r="30">
      <x:c r="A30" s="27" t="str">
        <x:v>2024/25</x:v>
      </x:c>
      <x:c r="B30" s="27" t="n">
        <x:v>330</x:v>
      </x:c>
      <x:c r="C30" s="27" t="n">
        <x:v>196</x:v>
      </x:c>
      <x:c r="D30" s="27" t="n">
        <x:v>122</x:v>
      </x:c>
      <x:c r="E30" s="27" t="n">
        <x:v>2</x:v>
      </x:c>
      <x:c r="F30" s="27" t="n">
        <x:v>10</x:v>
      </x:c>
      <x:c r="G30" s="30" t="n">
        <x:f>IF(AND(ISNUMBER(D30),ISNUMBER(B30),B30&gt;0),D30/B30,"")</x:f>
        <x:v>0.3696969696969697</x:v>
      </x:c>
      <x:c r="H30" s="27" t="str">
        <x:v>NR</x:v>
      </x:c>
      <x:c r="I30" s="27" t="str">
        <x:v>NR</x:v>
      </x:c>
      <x:c r="J30" s="27" t="str">
        <x:v>NR</x:v>
      </x:c>
      <x:c r="K30" s="27" t="n">
        <x:v>122</x:v>
      </x:c>
      <x:c r="L30" s="27" t="str">
        <x:v>NR</x:v>
      </x:c>
      <x:c r="M30" s="27" t="str">
        <x:v>NR</x:v>
      </x:c>
      <x:c r="N30" s="27" t="str">
        <x:v>S024</x:v>
      </x:c>
      <x:c r="O30" s="27" t="str">
        <x:v>4</x:v>
      </x:c>
      <x:c r="P30" s="27" t="str">
        <x:v>Commission-reported outcomes; large-merger recommendations are not always final Tribunal outcomes.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c6d6461033fa46f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1" hidden="0" customWidth="1"/>
    <x:col min="4" max="4" width="11" hidden="0" customWidth="1"/>
    <x:col min="5" max="5" width="14" hidden="0" customWidth="1"/>
    <x:col min="6" max="6" width="13" hidden="0" customWidth="1"/>
    <x:col min="7" max="7" width="18" hidden="0" customWidth="1"/>
    <x:col min="8" max="8" width="12" hidden="0" customWidth="1"/>
    <x:col min="9" max="9" width="15" hidden="0" customWidth="1"/>
    <x:col min="10" max="10" width="14" hidden="0" customWidth="1"/>
    <x:col min="11" max="11" width="18" hidden="0" customWidth="1"/>
    <x:col min="12" max="12" width="18" hidden="0" customWidth="1"/>
    <x:col min="13" max="13" width="32" hidden="0" customWidth="1"/>
    <x:col min="14" max="14" width="68" hidden="0" customWidth="1"/>
    <x:col min="15" max="15" width="10" hidden="0" customWidth="1"/>
    <x:col min="16" max="16" width="10" hidden="0" customWidth="1"/>
  </x:cols>
  <x:sheetData>
    <x:row r="1" ht="28" customHeight="1">
      <x:c r="A1" s="4" t="str">
        <x:v>Public-Interest Merger Metrics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2" customHeight="1">
      <x:c r="A2" s="11" t="str">
        <x:v>Job metrics change definition across reports. Values are labelled rather than mechanically spliced; ownership and supplier-development metrics become richer after the amendments.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</x:row>
    <x:row r="4" ht="30" customHeight="1">
      <x:c r="A4" s="20" t="str">
        <x:v>Financial year</x:v>
      </x:c>
      <x:c r="B4" s="20" t="str">
        <x:v>PI condition / favourable cases</x:v>
      </x:c>
      <x:c r="C4" s="20" t="str">
        <x:v>Jobs lost</x:v>
      </x:c>
      <x:c r="D4" s="20" t="str">
        <x:v>Jobs saved</x:v>
      </x:c>
      <x:c r="E4" s="20" t="str">
        <x:v>Intended/new jobs</x:v>
      </x:c>
      <x:c r="F4" s="20" t="str">
        <x:v>Net job effect</x:v>
      </x:c>
      <x:c r="G4" s="20" t="str">
        <x:v>Ownership-condition cases</x:v>
      </x:c>
      <x:c r="H4" s="20" t="str">
        <x:v>ESOP cases</x:v>
      </x:c>
      <x:c r="I4" s="20" t="str">
        <x:v>HDP ownership cases</x:v>
      </x:c>
      <x:c r="J4" s="20" t="str">
        <x:v>ESOP value (Rbn)</x:v>
      </x:c>
      <x:c r="K4" s="20" t="str">
        <x:v>HDP transaction value (Rbn)</x:v>
      </x:c>
      <x:c r="L4" s="20" t="str">
        <x:v>Supplier/procurement commitments (Rbn)</x:v>
      </x:c>
      <x:c r="M4" s="20" t="str">
        <x:v>Other quantitative public-interest measure</x:v>
      </x:c>
      <x:c r="N4" s="20" t="str">
        <x:v>Definition / caution</x:v>
      </x:c>
      <x:c r="O4" s="20" t="str">
        <x:v>Source_ID</x:v>
      </x:c>
      <x:c r="P4" s="20" t="str">
        <x:v>PDF page</x:v>
      </x:c>
    </x:row>
    <x:row r="5">
      <x:c r="A5" s="27" t="str">
        <x:v>2004/05</x:v>
      </x:c>
      <x:c r="B5" s="27" t="n">
        <x:v>49</x:v>
      </x:c>
      <x:c r="C5" s="27" t="str">
        <x:v>NR</x:v>
      </x:c>
      <x:c r="D5" s="27" t="str">
        <x:v>NR</x:v>
      </x:c>
      <x:c r="E5" s="27" t="str">
        <x:v>NR</x:v>
      </x:c>
      <x:c r="F5" s="27" t="str">
        <x:v>NR</x:v>
      </x:c>
      <x:c r="G5" s="27" t="str">
        <x:v>NR</x:v>
      </x:c>
      <x:c r="H5" s="27" t="str">
        <x:v>NR</x:v>
      </x:c>
      <x:c r="I5" s="27" t="str">
        <x:v>NR</x:v>
      </x:c>
      <x:c r="J5" s="36" t="str">
        <x:v>NR</x:v>
      </x:c>
      <x:c r="K5" s="36" t="str">
        <x:v>NR</x:v>
      </x:c>
      <x:c r="L5" s="36" t="str">
        <x:v>NR</x:v>
      </x:c>
      <x:c r="M5" s="27" t="str">
        <x:v>NR</x:v>
      </x:c>
      <x:c r="N5" s="27" t="str">
        <x:v>49 mergers considered favourably on public-interest grounds; BEE-related transactions concentrated in manufacturing.</x:v>
      </x:c>
      <x:c r="O5" s="27" t="str">
        <x:v>S004</x:v>
      </x:c>
      <x:c r="P5" s="27" t="str">
        <x:v>4</x:v>
      </x:c>
    </x:row>
    <x:row r="6">
      <x:c r="A6" s="27" t="str">
        <x:v>2005/06</x:v>
      </x:c>
      <x:c r="B6" s="27" t="n">
        <x:v>64</x:v>
      </x:c>
      <x:c r="C6" s="27" t="str">
        <x:v>NR</x:v>
      </x:c>
      <x:c r="D6" s="27" t="str">
        <x:v>NR</x:v>
      </x:c>
      <x:c r="E6" s="27" t="str">
        <x:v>NR</x:v>
      </x:c>
      <x:c r="F6" s="27" t="str">
        <x:v>NR</x:v>
      </x:c>
      <x:c r="G6" s="27" t="str">
        <x:v>NR</x:v>
      </x:c>
      <x:c r="H6" s="27" t="str">
        <x:v>NR</x:v>
      </x:c>
      <x:c r="I6" s="27" t="str">
        <x:v>NR</x:v>
      </x:c>
      <x:c r="J6" s="36" t="str">
        <x:v>NR</x:v>
      </x:c>
      <x:c r="K6" s="36" t="str">
        <x:v>NR</x:v>
      </x:c>
      <x:c r="L6" s="36" t="str">
        <x:v>NR</x:v>
      </x:c>
      <x:c r="M6" s="27" t="str">
        <x:v>NR</x:v>
      </x:c>
      <x:c r="N6" s="27" t="str">
        <x:v>64 finalised mergers considered favourably on public-interest grounds; empowerment transactions remained 16% of finalised cases.</x:v>
      </x:c>
      <x:c r="O6" s="27" t="str">
        <x:v>S005</x:v>
      </x:c>
      <x:c r="P6" s="27" t="str">
        <x:v>5</x:v>
      </x:c>
    </x:row>
    <x:row r="7">
      <x:c r="A7" s="27" t="str">
        <x:v>2009/10</x:v>
      </x:c>
      <x:c r="B7" s="27" t="n">
        <x:v>11</x:v>
      </x:c>
      <x:c r="C7" s="27" t="n">
        <x:v>2257</x:v>
      </x:c>
      <x:c r="D7" s="27" t="str">
        <x:v>NR</x:v>
      </x:c>
      <x:c r="E7" s="27" t="str">
        <x:v>NR</x:v>
      </x:c>
      <x:c r="F7" s="27" t="str">
        <x:v>NR</x:v>
      </x:c>
      <x:c r="G7" s="27" t="str">
        <x:v>NR</x:v>
      </x:c>
      <x:c r="H7" s="27" t="str">
        <x:v>NR</x:v>
      </x:c>
      <x:c r="I7" s="27" t="str">
        <x:v>NR</x:v>
      </x:c>
      <x:c r="J7" s="36" t="str">
        <x:v>NR</x:v>
      </x:c>
      <x:c r="K7" s="36" t="str">
        <x:v>NR</x:v>
      </x:c>
      <x:c r="L7" s="36" t="str">
        <x:v>NR</x:v>
      </x:c>
      <x:c r="M7" s="27" t="str">
        <x:v>~2,000 job losses across 19 of 190 notified transactions</x:v>
      </x:c>
      <x:c r="N7" s="27" t="str">
        <x:v>Table reports 715 skilled + 1,542 unskilled anticipated losses; 11 transactions had employment-mitigation conditions.</x:v>
      </x:c>
      <x:c r="O7" s="27" t="str">
        <x:v>S009</x:v>
      </x:c>
      <x:c r="P7" s="27" t="str">
        <x:v>2</x:v>
      </x:c>
    </x:row>
    <x:row r="8">
      <x:c r="A8" s="27" t="str">
        <x:v>2011/12</x:v>
      </x:c>
      <x:c r="B8" s="27" t="str">
        <x:v>NR</x:v>
      </x:c>
      <x:c r="C8" s="27" t="str">
        <x:v>NR</x:v>
      </x:c>
      <x:c r="D8" s="27" t="n">
        <x:v>618</x:v>
      </x:c>
      <x:c r="E8" s="27" t="str">
        <x:v>NR</x:v>
      </x:c>
      <x:c r="F8" s="27" t="str">
        <x:v>NR</x:v>
      </x:c>
      <x:c r="G8" s="27" t="str">
        <x:v>NR</x:v>
      </x:c>
      <x:c r="H8" s="27" t="str">
        <x:v>NR</x:v>
      </x:c>
      <x:c r="I8" s="27" t="str">
        <x:v>NR</x:v>
      </x:c>
      <x:c r="J8" s="36" t="str">
        <x:v>NR</x:v>
      </x:c>
      <x:c r="K8" s="36" t="str">
        <x:v>NR</x:v>
      </x:c>
      <x:c r="L8" s="36" t="str">
        <x:v>NR</x:v>
      </x:c>
      <x:c r="M8" s="27" t="str">
        <x:v>NR</x:v>
      </x:c>
      <x:c r="N8" s="27" t="str">
        <x:v>Employment conditions prevented loss of 618 jobs.</x:v>
      </x:c>
      <x:c r="O8" s="27" t="str">
        <x:v>S011</x:v>
      </x:c>
      <x:c r="P8" s="27" t="str">
        <x:v>5</x:v>
      </x:c>
    </x:row>
    <x:row r="9">
      <x:c r="A9" s="27" t="str">
        <x:v>2013/14</x:v>
      </x:c>
      <x:c r="B9" s="27" t="n">
        <x:v>10</x:v>
      </x:c>
      <x:c r="C9" s="27" t="n">
        <x:v>584</x:v>
      </x:c>
      <x:c r="D9" s="27" t="n">
        <x:v>2231</x:v>
      </x:c>
      <x:c r="E9" s="27" t="n">
        <x:v>2429</x:v>
      </x:c>
      <x:c r="F9" s="27" t="n">
        <x:v>4076</x:v>
      </x:c>
      <x:c r="G9" s="27" t="str">
        <x:v>NR</x:v>
      </x:c>
      <x:c r="H9" s="27" t="str">
        <x:v>NR</x:v>
      </x:c>
      <x:c r="I9" s="27" t="str">
        <x:v>NR</x:v>
      </x:c>
      <x:c r="J9" s="36" t="str">
        <x:v>NR</x:v>
      </x:c>
      <x:c r="K9" s="36" t="str">
        <x:v>NR</x:v>
      </x:c>
      <x:c r="L9" s="36" t="str">
        <x:v>NR</x:v>
      </x:c>
      <x:c r="M9" s="27" t="str">
        <x:v>NR</x:v>
      </x:c>
      <x:c r="N9" s="27" t="str">
        <x:v>Report accounting: 2,429 new + 2,231 saved - 584 losses = +4,076; later comparison reports +1,657.</x:v>
      </x:c>
      <x:c r="O9" s="27" t="str">
        <x:v>S013</x:v>
      </x:c>
      <x:c r="P9" s="27" t="str">
        <x:v>5</x:v>
      </x:c>
    </x:row>
    <x:row r="10">
      <x:c r="A10" s="27" t="str">
        <x:v>2014/15</x:v>
      </x:c>
      <x:c r="B10" s="27" t="n">
        <x:v>39</x:v>
      </x:c>
      <x:c r="C10" s="27" t="n">
        <x:v>2594</x:v>
      </x:c>
      <x:c r="D10" s="27" t="n">
        <x:v>5340</x:v>
      </x:c>
      <x:c r="E10" s="27" t="str">
        <x:v>NR</x:v>
      </x:c>
      <x:c r="F10" s="27" t="n">
        <x:v>2746</x:v>
      </x:c>
      <x:c r="G10" s="27" t="str">
        <x:v>NR</x:v>
      </x:c>
      <x:c r="H10" s="27" t="str">
        <x:v>NR</x:v>
      </x:c>
      <x:c r="I10" s="27" t="str">
        <x:v>NR</x:v>
      </x:c>
      <x:c r="J10" s="36" t="str">
        <x:v>NR</x:v>
      </x:c>
      <x:c r="K10" s="36" t="str">
        <x:v>NR</x:v>
      </x:c>
      <x:c r="L10" s="36" t="str">
        <x:v>NR</x:v>
      </x:c>
      <x:c r="M10" s="27" t="str">
        <x:v>44 employment-impact cases</x:v>
      </x:c>
      <x:c r="N10" s="27" t="str">
        <x:v>Recovered from 2015/16 comparative table; not mechanically spliceable.</x:v>
      </x:c>
      <x:c r="O10" s="27" t="str">
        <x:v>S015</x:v>
      </x:c>
      <x:c r="P10" s="27" t="str">
        <x:v>12</x:v>
      </x:c>
    </x:row>
    <x:row r="11">
      <x:c r="A11" s="27" t="str">
        <x:v>2015/16</x:v>
      </x:c>
      <x:c r="B11" s="27" t="n">
        <x:v>28</x:v>
      </x:c>
      <x:c r="C11" s="27" t="n">
        <x:v>1399</x:v>
      </x:c>
      <x:c r="D11" s="27" t="n">
        <x:v>8274</x:v>
      </x:c>
      <x:c r="E11" s="27" t="str">
        <x:v>NR</x:v>
      </x:c>
      <x:c r="F11" s="27" t="n">
        <x:v>6875</x:v>
      </x:c>
      <x:c r="G11" s="27" t="str">
        <x:v>NR</x:v>
      </x:c>
      <x:c r="H11" s="27" t="str">
        <x:v>NR</x:v>
      </x:c>
      <x:c r="I11" s="27" t="str">
        <x:v>NR</x:v>
      </x:c>
      <x:c r="J11" s="36" t="str">
        <x:v>NR</x:v>
      </x:c>
      <x:c r="K11" s="36" t="str">
        <x:v>NR</x:v>
      </x:c>
      <x:c r="L11" s="36" t="str">
        <x:v>NR</x:v>
      </x:c>
      <x:c r="M11" s="27" t="str">
        <x:v>39 cases with employment impact</x:v>
      </x:c>
      <x:c r="N11" s="27" t="str">
        <x:v>Employment remedies in 25 cases; firms separately committed to saving 7,020 jobs.</x:v>
      </x:c>
      <x:c r="O11" s="27" t="str">
        <x:v>S015</x:v>
      </x:c>
      <x:c r="P11" s="27" t="str">
        <x:v>12</x:v>
      </x:c>
    </x:row>
    <x:row r="12">
      <x:c r="A12" s="27" t="str">
        <x:v>2016/17</x:v>
      </x:c>
      <x:c r="B12" s="27" t="n">
        <x:v>15</x:v>
      </x:c>
      <x:c r="C12" s="27" t="str">
        <x:v>NR</x:v>
      </x:c>
      <x:c r="D12" s="27" t="str">
        <x:v>NR</x:v>
      </x:c>
      <x:c r="E12" s="27" t="str">
        <x:v>NR</x:v>
      </x:c>
      <x:c r="F12" s="27" t="n">
        <x:v>48403</x:v>
      </x:c>
      <x:c r="G12" s="27" t="str">
        <x:v>NR</x:v>
      </x:c>
      <x:c r="H12" s="27" t="str">
        <x:v>NR</x:v>
      </x:c>
      <x:c r="I12" s="27" t="str">
        <x:v>NR</x:v>
      </x:c>
      <x:c r="J12" s="36" t="str">
        <x:v>NR</x:v>
      </x:c>
      <x:c r="K12" s="36" t="str">
        <x:v>NR</x:v>
      </x:c>
      <x:c r="L12" s="36" t="str">
        <x:v>NR</x:v>
      </x:c>
      <x:c r="M12" s="27" t="str">
        <x:v>NR</x:v>
      </x:c>
      <x:c r="N12" s="27" t="str">
        <x:v>Commission reports net saving of 48,403 jobs.</x:v>
      </x:c>
      <x:c r="O12" s="27" t="str">
        <x:v>S016</x:v>
      </x:c>
      <x:c r="P12" s="27" t="str">
        <x:v>4</x:v>
      </x:c>
    </x:row>
    <x:row r="13">
      <x:c r="A13" s="27" t="str">
        <x:v>2017/18</x:v>
      </x:c>
      <x:c r="B13" s="27" t="n">
        <x:v>32</x:v>
      </x:c>
      <x:c r="C13" s="27" t="str">
        <x:v>NR</x:v>
      </x:c>
      <x:c r="D13" s="27" t="str">
        <x:v>NR</x:v>
      </x:c>
      <x:c r="E13" s="27" t="str">
        <x:v>NR</x:v>
      </x:c>
      <x:c r="F13" s="27" t="n">
        <x:v>76452</x:v>
      </x:c>
      <x:c r="G13" s="27" t="str">
        <x:v>NR</x:v>
      </x:c>
      <x:c r="H13" s="27" t="str">
        <x:v>NR</x:v>
      </x:c>
      <x:c r="I13" s="27" t="str">
        <x:v>NR</x:v>
      </x:c>
      <x:c r="J13" s="36" t="str">
        <x:v>NR</x:v>
      </x:c>
      <x:c r="K13" s="36" t="str">
        <x:v>NR</x:v>
      </x:c>
      <x:c r="L13" s="36" t="str">
        <x:v>NR</x:v>
      </x:c>
      <x:c r="M13" s="27" t="str">
        <x:v>NR</x:v>
      </x:c>
      <x:c r="N13" s="27" t="str">
        <x:v>Commission reports net saving of 76,452 jobs.</x:v>
      </x:c>
      <x:c r="O13" s="27" t="str">
        <x:v>S017</x:v>
      </x:c>
      <x:c r="P13" s="27" t="str">
        <x:v>2</x:v>
      </x:c>
    </x:row>
    <x:row r="14">
      <x:c r="A14" s="27" t="str">
        <x:v>2018/19</x:v>
      </x:c>
      <x:c r="B14" s="27" t="n">
        <x:v>45</x:v>
      </x:c>
      <x:c r="C14" s="27" t="str">
        <x:v>NR</x:v>
      </x:c>
      <x:c r="D14" s="27" t="str">
        <x:v>NR</x:v>
      </x:c>
      <x:c r="E14" s="27" t="str">
        <x:v>NR</x:v>
      </x:c>
      <x:c r="F14" s="27" t="n">
        <x:v>7092</x:v>
      </x:c>
      <x:c r="G14" s="27" t="str">
        <x:v>NR</x:v>
      </x:c>
      <x:c r="H14" s="27" t="str">
        <x:v>NR</x:v>
      </x:c>
      <x:c r="I14" s="27" t="str">
        <x:v>NR</x:v>
      </x:c>
      <x:c r="J14" s="36" t="str">
        <x:v>NR</x:v>
      </x:c>
      <x:c r="K14" s="36" t="str">
        <x:v>NR</x:v>
      </x:c>
      <x:c r="L14" s="36" t="str">
        <x:v>NR</x:v>
      </x:c>
      <x:c r="M14" s="27" t="str">
        <x:v>NR</x:v>
      </x:c>
      <x:c r="N14" s="27" t="str">
        <x:v>PI condition case count exceeds aggregate conditional approvals; scope/timing differs.</x:v>
      </x:c>
      <x:c r="O14" s="27" t="str">
        <x:v>S018</x:v>
      </x:c>
      <x:c r="P14" s="27" t="str">
        <x:v>9</x:v>
      </x:c>
    </x:row>
    <x:row r="15">
      <x:c r="A15" s="27" t="str">
        <x:v>2019/20</x:v>
      </x:c>
      <x:c r="B15" s="27" t="n">
        <x:v>30</x:v>
      </x:c>
      <x:c r="C15" s="27" t="str">
        <x:v>NR</x:v>
      </x:c>
      <x:c r="D15" s="27" t="str">
        <x:v>NR</x:v>
      </x:c>
      <x:c r="E15" s="27" t="str">
        <x:v>NR</x:v>
      </x:c>
      <x:c r="F15" s="27" t="n">
        <x:v>45027</x:v>
      </x:c>
      <x:c r="G15" s="27" t="str">
        <x:v>NR</x:v>
      </x:c>
      <x:c r="H15" s="27" t="str">
        <x:v>NR</x:v>
      </x:c>
      <x:c r="I15" s="27" t="str">
        <x:v>NR</x:v>
      </x:c>
      <x:c r="J15" s="36" t="str">
        <x:v>NR</x:v>
      </x:c>
      <x:c r="K15" s="36" t="str">
        <x:v>NR</x:v>
      </x:c>
      <x:c r="L15" s="36" t="str">
        <x:v>NR</x:v>
      </x:c>
      <x:c r="M15" s="27" t="str">
        <x:v>30 of 33 condition cases</x:v>
      </x:c>
      <x:c r="N15" s="27" t="str">
        <x:v>Net saving of 45,027 jobs.</x:v>
      </x:c>
      <x:c r="O15" s="27" t="str">
        <x:v>S019</x:v>
      </x:c>
      <x:c r="P15" s="27" t="str">
        <x:v>8</x:v>
      </x:c>
    </x:row>
    <x:row r="16">
      <x:c r="A16" s="27" t="str">
        <x:v>2020/21</x:v>
      </x:c>
      <x:c r="B16" s="27" t="n">
        <x:v>34</x:v>
      </x:c>
      <x:c r="C16" s="27" t="str">
        <x:v>NR</x:v>
      </x:c>
      <x:c r="D16" s="27" t="str">
        <x:v>NR</x:v>
      </x:c>
      <x:c r="E16" s="27" t="str">
        <x:v>NR</x:v>
      </x:c>
      <x:c r="F16" s="27" t="n">
        <x:v>8596</x:v>
      </x:c>
      <x:c r="G16" s="27" t="str">
        <x:v>NR</x:v>
      </x:c>
      <x:c r="H16" s="27" t="str">
        <x:v>NR</x:v>
      </x:c>
      <x:c r="I16" s="27" t="str">
        <x:v>NR</x:v>
      </x:c>
      <x:c r="J16" s="36" t="str">
        <x:v>NR</x:v>
      </x:c>
      <x:c r="K16" s="36" t="str">
        <x:v>NR</x:v>
      </x:c>
      <x:c r="L16" s="36" t="str">
        <x:v>NR</x:v>
      </x:c>
      <x:c r="M16" s="27" t="str">
        <x:v>NR</x:v>
      </x:c>
      <x:c r="N16" s="27" t="str">
        <x:v>Net saving of 8,596 jobs.</x:v>
      </x:c>
      <x:c r="O16" s="27" t="str">
        <x:v>S020</x:v>
      </x:c>
      <x:c r="P16" s="27" t="str">
        <x:v>9</x:v>
      </x:c>
    </x:row>
    <x:row r="17">
      <x:c r="A17" s="27" t="str">
        <x:v>2021/22</x:v>
      </x:c>
      <x:c r="B17" s="27" t="n">
        <x:v>74</x:v>
      </x:c>
      <x:c r="C17" s="27" t="str">
        <x:v>NR</x:v>
      </x:c>
      <x:c r="D17" s="27" t="str">
        <x:v>NR</x:v>
      </x:c>
      <x:c r="E17" s="27" t="str">
        <x:v>NR</x:v>
      </x:c>
      <x:c r="F17" s="27" t="n">
        <x:v>1618</x:v>
      </x:c>
      <x:c r="G17" s="27" t="str">
        <x:v>NR</x:v>
      </x:c>
      <x:c r="H17" s="27" t="str">
        <x:v>NR</x:v>
      </x:c>
      <x:c r="I17" s="27" t="str">
        <x:v>NR</x:v>
      </x:c>
      <x:c r="J17" s="36" t="str">
        <x:v>NR</x:v>
      </x:c>
      <x:c r="K17" s="36" t="str">
        <x:v>NR</x:v>
      </x:c>
      <x:c r="L17" s="36" t="str">
        <x:v>NR</x:v>
      </x:c>
      <x:c r="M17" s="27" t="str">
        <x:v>NR</x:v>
      </x:c>
      <x:c r="N17" s="27" t="str">
        <x:v>Conditions commonly combined employment, HDP, local production, SME development and BEE ownership.</x:v>
      </x:c>
      <x:c r="O17" s="27" t="str">
        <x:v>S021</x:v>
      </x:c>
      <x:c r="P17" s="27" t="str">
        <x:v>5</x:v>
      </x:c>
    </x:row>
    <x:row r="18">
      <x:c r="A18" s="27" t="str">
        <x:v>2022/23</x:v>
      </x:c>
      <x:c r="B18" s="27" t="n">
        <x:v>68</x:v>
      </x:c>
      <x:c r="C18" s="27" t="n">
        <x:v>0</x:v>
      </x:c>
      <x:c r="D18" s="27" t="n">
        <x:v>1600</x:v>
      </x:c>
      <x:c r="E18" s="27" t="n">
        <x:v>743</x:v>
      </x:c>
      <x:c r="F18" s="27" t="n">
        <x:v>2243</x:v>
      </x:c>
      <x:c r="G18" s="27" t="n">
        <x:v>34</x:v>
      </x:c>
      <x:c r="H18" s="27" t="n">
        <x:v>22</x:v>
      </x:c>
      <x:c r="I18" s="27" t="n">
        <x:v>12</x:v>
      </x:c>
      <x:c r="J18" s="36" t="n">
        <x:v>22.9</x:v>
      </x:c>
      <x:c r="K18" s="36" t="n">
        <x:v>5.1</x:v>
      </x:c>
      <x:c r="L18" s="36" t="n">
        <x:v>36.8</x:v>
      </x:c>
      <x:c r="M18" s="27" t="str">
        <x:v>23 retrenchment moratoria; 2 preferential re-employment commitments</x:v>
      </x:c>
      <x:c r="N18" s="27" t="str">
        <x:v>Net effect based on nine cases; HDP value about R5.1bn across 11 cases; some cases have both ownership types.</x:v>
      </x:c>
      <x:c r="O18" s="27" t="str">
        <x:v>S022</x:v>
      </x:c>
      <x:c r="P18" s="27" t="str">
        <x:v>5-7</x:v>
      </x:c>
    </x:row>
    <x:row r="19">
      <x:c r="A19" s="27" t="str">
        <x:v>2023/24</x:v>
      </x:c>
      <x:c r="B19" s="27" t="n">
        <x:v>126</x:v>
      </x:c>
      <x:c r="C19" s="27" t="n">
        <x:v>43</x:v>
      </x:c>
      <x:c r="D19" s="27" t="n">
        <x:v>3237</x:v>
      </x:c>
      <x:c r="E19" s="27" t="n">
        <x:v>1708</x:v>
      </x:c>
      <x:c r="F19" s="27" t="n">
        <x:v>4902</x:v>
      </x:c>
      <x:c r="G19" s="27" t="str">
        <x:v>NR</x:v>
      </x:c>
      <x:c r="H19" s="27" t="str">
        <x:v>NR</x:v>
      </x:c>
      <x:c r="I19" s="27" t="str">
        <x:v>NR</x:v>
      </x:c>
      <x:c r="J19" s="36" t="str">
        <x:v>NR</x:v>
      </x:c>
      <x:c r="K19" s="36" t="str">
        <x:v>NR</x:v>
      </x:c>
      <x:c r="L19" s="36" t="str">
        <x:v>NR</x:v>
      </x:c>
      <x:c r="M19" s="27" t="str">
        <x:v>30 cases in jobs table</x:v>
      </x:c>
      <x:c r="N19" s="27" t="str">
        <x:v>Job table excludes full effect of moratoria; conditional approvals rose to about 47%.</x:v>
      </x:c>
      <x:c r="O19" s="27" t="str">
        <x:v>S023</x:v>
      </x:c>
      <x:c r="P19" s="27" t="str">
        <x:v>4-5</x:v>
      </x:c>
    </x:row>
    <x:row r="20">
      <x:c r="A20" s="27" t="str">
        <x:v>2024/25</x:v>
      </x:c>
      <x:c r="B20" s="27" t="n">
        <x:v>122</x:v>
      </x:c>
      <x:c r="C20" s="27" t="n">
        <x:v>593</x:v>
      </x:c>
      <x:c r="D20" s="27" t="n">
        <x:v>7817</x:v>
      </x:c>
      <x:c r="E20" s="27" t="n">
        <x:v>243</x:v>
      </x:c>
      <x:c r="F20" s="27" t="n">
        <x:v>7467</x:v>
      </x:c>
      <x:c r="G20" s="27" t="n">
        <x:v>31</x:v>
      </x:c>
      <x:c r="H20" s="27" t="n">
        <x:v>14</x:v>
      </x:c>
      <x:c r="I20" s="27" t="n">
        <x:v>13</x:v>
      </x:c>
      <x:c r="J20" s="36" t="n">
        <x:v>1.2089</x:v>
      </x:c>
      <x:c r="K20" s="36" t="n">
        <x:v>0.2664</x:v>
      </x:c>
      <x:c r="L20" s="36" t="n">
        <x:v>2.6</x:v>
      </x:c>
      <x:c r="M20" s="27" t="str">
        <x:v>42 moratoria in table; 415 workers protected</x:v>
      </x:c>
      <x:c r="N20" s="27" t="str">
        <x:v>Narrative/table moratoria totals conflict: narrative 41, table 42; ownership values are Commission estimates.</x:v>
      </x:c>
      <x:c r="O20" s="27" t="str">
        <x:v>S024</x:v>
      </x:c>
      <x:c r="P20" s="27" t="str">
        <x:v>5-7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3c96eb1679044767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9" hidden="0" customWidth="1"/>
    <x:col min="5" max="5" width="18" hidden="0" customWidth="1"/>
    <x:col min="6" max="6" width="12" hidden="0" customWidth="1"/>
    <x:col min="7" max="7" width="19" hidden="0" customWidth="1"/>
    <x:col min="8" max="8" width="58" hidden="0" customWidth="1"/>
    <x:col min="9" max="9" width="10" hidden="0" customWidth="1"/>
    <x:col min="10" max="10" width="10" hidden="0" customWidth="1"/>
    <x:col min="11" max="11" width="55" hidden="0" customWidth="1"/>
  </x:cols>
  <x:sheetData>
    <x:row r="1" ht="28" customHeight="1">
      <x:c r="A1" s="4" t="str">
        <x:v>Small / Below-Threshold Merger Reporting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2" customHeight="1">
      <x:c r="A2" s="11" t="str">
        <x:v>Small mergers are not generally mandatory notifications. Reported counts are selected voluntary/called-in cases and must not be treated as the universe of below-threshold transactions.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4" ht="30" customHeight="1">
      <x:c r="A4" s="20" t="str">
        <x:v>Financial year</x:v>
      </x:c>
      <x:c r="B4" s="20" t="str">
        <x:v>Small notified</x:v>
      </x:c>
      <x:c r="C4" s="20" t="str">
        <x:v>Small finalised</x:v>
      </x:c>
      <x:c r="D4" s="20" t="str">
        <x:v>Small approved without conditions</x:v>
      </x:c>
      <x:c r="E4" s="20" t="str">
        <x:v>Small approved with conditions</x:v>
      </x:c>
      <x:c r="F4" s="20" t="str">
        <x:v>Small prohibited</x:v>
      </x:c>
      <x:c r="G4" s="20" t="str">
        <x:v>Small withdrawn / no jurisdiction</x:v>
      </x:c>
      <x:c r="H4" s="20" t="str">
        <x:v>Policy / notification basis</x:v>
      </x:c>
      <x:c r="I4" s="20" t="str">
        <x:v>Source_ID</x:v>
      </x:c>
      <x:c r="J4" s="20" t="str">
        <x:v>PDF page</x:v>
      </x:c>
      <x:c r="K4" s="20" t="str">
        <x:v>Reconciliation / caution</x:v>
      </x:c>
    </x:row>
    <x:row r="5">
      <x:c r="A5" s="27" t="str">
        <x:v>1999/00</x:v>
      </x:c>
      <x:c r="B5" s="27" t="str">
        <x:v>NA</x:v>
      </x:c>
      <x:c r="C5" s="27" t="str">
        <x:v>NA</x:v>
      </x:c>
      <x:c r="D5" s="27" t="str">
        <x:v>NA</x:v>
      </x:c>
      <x:c r="E5" s="27" t="str">
        <x:v>NA</x:v>
      </x:c>
      <x:c r="F5" s="27" t="str">
        <x:v>NA</x:v>
      </x:c>
      <x:c r="G5" s="27" t="str">
        <x:v>NA</x:v>
      </x:c>
      <x:c r="H5" s="27" t="str">
        <x:v>Small category not yet in force; transitional category used.</x:v>
      </x:c>
      <x:c r="I5" s="27" t="str">
        <x:v>S001</x:v>
      </x:c>
      <x:c r="J5" s="27" t="str">
        <x:v>2</x:v>
      </x:c>
      <x:c r="K5" s="27" t="str">
        <x:v>Do not recode transitional as small.</x:v>
      </x:c>
    </x:row>
    <x:row r="6">
      <x:c r="A6" s="27" t="str">
        <x:v>2000/01</x:v>
      </x:c>
      <x:c r="B6" s="27" t="n">
        <x:v>16</x:v>
      </x:c>
      <x:c r="C6" s="27" t="n">
        <x:v>3</x:v>
      </x:c>
      <x:c r="D6" s="27" t="n">
        <x:v>16</x:v>
      </x:c>
      <x:c r="E6" s="27" t="str">
        <x:v>NR</x:v>
      </x:c>
      <x:c r="F6" s="27" t="str">
        <x:v>NR</x:v>
      </x:c>
      <x:c r="G6" s="27" t="str">
        <x:v>NR</x:v>
      </x:c>
      <x:c r="H6" s="27" t="str">
        <x:v>Small category effective 1 Feb 2001; part-year observation.</x:v>
      </x:c>
      <x:c r="I6" s="27" t="str">
        <x:v>S001</x:v>
      </x:c>
      <x:c r="J6" s="27" t="str">
        <x:v>2</x:v>
      </x:c>
      <x:c r="K6" s="27" t="str">
        <x:v>Case timing means approved/finalised counts need not identity.</x:v>
      </x:c>
    </x:row>
    <x:row r="7">
      <x:c r="A7" s="27" t="str">
        <x:v>2001/02</x:v>
      </x:c>
      <x:c r="B7" s="27" t="n">
        <x:v>5</x:v>
      </x:c>
      <x:c r="C7" s="27" t="n">
        <x:v>4</x:v>
      </x:c>
      <x:c r="D7" s="27" t="str">
        <x:v>NR</x:v>
      </x:c>
      <x:c r="E7" s="27" t="str">
        <x:v>NR</x:v>
      </x:c>
      <x:c r="F7" s="27" t="str">
        <x:v>NR</x:v>
      </x:c>
      <x:c r="G7" s="27" t="str">
        <x:v>NR</x:v>
      </x:c>
      <x:c r="H7" s="27" t="str">
        <x:v>Selected voluntary/called-in cases only.</x:v>
      </x:c>
      <x:c r="I7" s="27" t="str">
        <x:v>S002</x:v>
      </x:c>
      <x:c r="J7" s="27" t="str">
        <x:v>2</x:v>
      </x:c>
      <x:c r="K7" s="27" t="str">
        <x:v>Recovered core counts.</x:v>
      </x:c>
    </x:row>
    <x:row r="8">
      <x:c r="A8" s="27" t="str">
        <x:v>2002/03</x:v>
      </x:c>
      <x:c r="B8" s="27" t="n">
        <x:v>5</x:v>
      </x:c>
      <x:c r="C8" s="27" t="n">
        <x:v>5</x:v>
      </x:c>
      <x:c r="D8" s="27" t="str">
        <x:v>NR</x:v>
      </x:c>
      <x:c r="E8" s="27" t="str">
        <x:v>NR</x:v>
      </x:c>
      <x:c r="F8" s="27" t="str">
        <x:v>NR</x:v>
      </x:c>
      <x:c r="G8" s="27" t="str">
        <x:v>NR</x:v>
      </x:c>
      <x:c r="H8" s="27" t="str">
        <x:v>Selected voluntary/called-in cases only.</x:v>
      </x:c>
      <x:c r="I8" s="27" t="str">
        <x:v>S002</x:v>
      </x:c>
      <x:c r="J8" s="27" t="str">
        <x:v>2</x:v>
      </x:c>
      <x:c r="K8" s="27" t="str"/>
    </x:row>
    <x:row r="9">
      <x:c r="A9" s="27" t="str">
        <x:v>2003/04</x:v>
      </x:c>
      <x:c r="B9" s="27" t="n">
        <x:v>6</x:v>
      </x:c>
      <x:c r="C9" s="27" t="n">
        <x:v>5</x:v>
      </x:c>
      <x:c r="D9" s="27" t="str">
        <x:v>NR</x:v>
      </x:c>
      <x:c r="E9" s="27" t="str">
        <x:v>NR</x:v>
      </x:c>
      <x:c r="F9" s="27" t="str">
        <x:v>NR</x:v>
      </x:c>
      <x:c r="G9" s="27" t="str">
        <x:v>NR</x:v>
      </x:c>
      <x:c r="H9" s="27" t="str">
        <x:v>Selected voluntary/called-in cases only.</x:v>
      </x:c>
      <x:c r="I9" s="27" t="str">
        <x:v>S003</x:v>
      </x:c>
      <x:c r="J9" s="27" t="str">
        <x:v>1</x:v>
      </x:c>
      <x:c r="K9" s="27" t="str"/>
    </x:row>
    <x:row r="10">
      <x:c r="A10" s="27" t="str">
        <x:v>2004/05</x:v>
      </x:c>
      <x:c r="B10" s="27" t="n">
        <x:v>6</x:v>
      </x:c>
      <x:c r="C10" s="27" t="n">
        <x:v>7</x:v>
      </x:c>
      <x:c r="D10" s="27" t="n">
        <x:v>5</x:v>
      </x:c>
      <x:c r="E10" s="27" t="n">
        <x:v>0</x:v>
      </x:c>
      <x:c r="F10" s="27" t="n">
        <x:v>1</x:v>
      </x:c>
      <x:c r="G10" s="27" t="n">
        <x:v>1</x:v>
      </x:c>
      <x:c r="H10" s="27" t="str">
        <x:v>Selected voluntary/called-in cases only.</x:v>
      </x:c>
      <x:c r="I10" s="27" t="str">
        <x:v>S004</x:v>
      </x:c>
      <x:c r="J10" s="27" t="str">
        <x:v>1</x:v>
      </x:c>
      <x:c r="K10" s="27" t="str">
        <x:v>Finalised includes one carry-over.</x:v>
      </x:c>
    </x:row>
    <x:row r="11">
      <x:c r="A11" s="27" t="str">
        <x:v>2005/06</x:v>
      </x:c>
      <x:c r="B11" s="27" t="n">
        <x:v>11</x:v>
      </x:c>
      <x:c r="C11" s="27" t="n">
        <x:v>9</x:v>
      </x:c>
      <x:c r="D11" s="27" t="n">
        <x:v>8</x:v>
      </x:c>
      <x:c r="E11" s="27" t="n">
        <x:v>0</x:v>
      </x:c>
      <x:c r="F11" s="27" t="n">
        <x:v>1</x:v>
      </x:c>
      <x:c r="G11" s="27" t="n">
        <x:v>1</x:v>
      </x:c>
      <x:c r="H11" s="27" t="str">
        <x:v>Selected voluntary/called-in cases only.</x:v>
      </x:c>
      <x:c r="I11" s="27" t="str">
        <x:v>S005</x:v>
      </x:c>
      <x:c r="J11" s="27" t="str">
        <x:v>2</x:v>
      </x:c>
      <x:c r="K11" s="27" t="str">
        <x:v>Residual separate from decisions.</x:v>
      </x:c>
    </x:row>
    <x:row r="12">
      <x:c r="A12" s="27" t="str">
        <x:v>2006/07</x:v>
      </x:c>
      <x:c r="B12" s="27" t="n">
        <x:v>2</x:v>
      </x:c>
      <x:c r="C12" s="27" t="n">
        <x:v>4</x:v>
      </x:c>
      <x:c r="D12" s="27" t="n">
        <x:v>4</x:v>
      </x:c>
      <x:c r="E12" s="27" t="n">
        <x:v>0</x:v>
      </x:c>
      <x:c r="F12" s="27" t="n">
        <x:v>0</x:v>
      </x:c>
      <x:c r="G12" s="27" t="n">
        <x:v>0</x:v>
      </x:c>
      <x:c r="H12" s="27" t="str">
        <x:v>Selected voluntary/called-in cases only.</x:v>
      </x:c>
      <x:c r="I12" s="27" t="str">
        <x:v>S006</x:v>
      </x:c>
      <x:c r="J12" s="27" t="str">
        <x:v>1</x:v>
      </x:c>
      <x:c r="K12" s="27" t="str">
        <x:v>Carry-over can make finalised exceed notified.</x:v>
      </x:c>
    </x:row>
    <x:row r="13">
      <x:c r="A13" s="27" t="str">
        <x:v>2007/08</x:v>
      </x:c>
      <x:c r="B13" s="27" t="n">
        <x:v>13</x:v>
      </x:c>
      <x:c r="C13" s="27" t="n">
        <x:v>10</x:v>
      </x:c>
      <x:c r="D13" s="27" t="n">
        <x:v>4</x:v>
      </x:c>
      <x:c r="E13" s="27" t="n">
        <x:v>1</x:v>
      </x:c>
      <x:c r="F13" s="27" t="n">
        <x:v>0</x:v>
      </x:c>
      <x:c r="G13" s="27" t="n">
        <x:v>5</x:v>
      </x:c>
      <x:c r="H13" s="27" t="str">
        <x:v>Selected voluntary/called-in cases only.</x:v>
      </x:c>
      <x:c r="I13" s="27" t="str">
        <x:v>S007</x:v>
      </x:c>
      <x:c r="J13" s="27" t="str">
        <x:v>2</x:v>
      </x:c>
      <x:c r="K13" s="27" t="str"/>
    </x:row>
    <x:row r="14">
      <x:c r="A14" s="27" t="str">
        <x:v>2008/09</x:v>
      </x:c>
      <x:c r="B14" s="27" t="n">
        <x:v>9</x:v>
      </x:c>
      <x:c r="C14" s="27" t="str">
        <x:v>NR</x:v>
      </x:c>
      <x:c r="D14" s="27" t="str">
        <x:v>NR</x:v>
      </x:c>
      <x:c r="E14" s="27" t="str">
        <x:v>NR</x:v>
      </x:c>
      <x:c r="F14" s="27" t="str">
        <x:v>NR</x:v>
      </x:c>
      <x:c r="G14" s="27" t="str">
        <x:v>NR</x:v>
      </x:c>
      <x:c r="H14" s="27" t="str">
        <x:v>Outcome breakdown not reliable in current extract.</x:v>
      </x:c>
      <x:c r="I14" s="27" t="str">
        <x:v>S008</x:v>
      </x:c>
      <x:c r="J14" s="27" t="str">
        <x:v>1</x:v>
      </x:c>
      <x:c r="K14" s="27" t="str"/>
    </x:row>
    <x:row r="15">
      <x:c r="A15" s="27" t="str">
        <x:v>2009/10</x:v>
      </x:c>
      <x:c r="B15" s="27" t="n">
        <x:v>10</x:v>
      </x:c>
      <x:c r="C15" s="27" t="n">
        <x:v>14</x:v>
      </x:c>
      <x:c r="D15" s="27" t="n">
        <x:v>11</x:v>
      </x:c>
      <x:c r="E15" s="27" t="n">
        <x:v>1</x:v>
      </x:c>
      <x:c r="F15" s="27" t="n">
        <x:v>0</x:v>
      </x:c>
      <x:c r="G15" s="27" t="n">
        <x:v>2</x:v>
      </x:c>
      <x:c r="H15" s="27" t="str">
        <x:v>Small-merger guidelines applied with 2009 thresholds.</x:v>
      </x:c>
      <x:c r="I15" s="27" t="str">
        <x:v>S009</x:v>
      </x:c>
      <x:c r="J15" s="27" t="str">
        <x:v>1</x:v>
      </x:c>
      <x:c r="K15" s="27" t="str"/>
    </x:row>
    <x:row r="16">
      <x:c r="A16" s="27" t="str">
        <x:v>2010/11</x:v>
      </x:c>
      <x:c r="B16" s="27" t="n">
        <x:v>19</x:v>
      </x:c>
      <x:c r="C16" s="27" t="n">
        <x:v>19</x:v>
      </x:c>
      <x:c r="D16" s="27" t="n">
        <x:v>16</x:v>
      </x:c>
      <x:c r="E16" s="27" t="n">
        <x:v>3</x:v>
      </x:c>
      <x:c r="F16" s="27" t="n">
        <x:v>0</x:v>
      </x:c>
      <x:c r="G16" s="27" t="n">
        <x:v>0</x:v>
      </x:c>
      <x:c r="H16" s="27" t="str">
        <x:v>Selected voluntary/called-in cases only.</x:v>
      </x:c>
      <x:c r="I16" s="27" t="str">
        <x:v>S011</x:v>
      </x:c>
      <x:c r="J16" s="27" t="str">
        <x:v>5</x:v>
      </x:c>
      <x:c r="K16" s="27" t="str"/>
    </x:row>
    <x:row r="17">
      <x:c r="A17" s="27" t="str">
        <x:v>2011/12</x:v>
      </x:c>
      <x:c r="B17" s="27" t="n">
        <x:v>17</x:v>
      </x:c>
      <x:c r="C17" s="27" t="n">
        <x:v>15</x:v>
      </x:c>
      <x:c r="D17" s="27" t="n">
        <x:v>7</x:v>
      </x:c>
      <x:c r="E17" s="27" t="n">
        <x:v>4</x:v>
      </x:c>
      <x:c r="F17" s="27" t="n">
        <x:v>3</x:v>
      </x:c>
      <x:c r="G17" s="27" t="n">
        <x:v>1</x:v>
      </x:c>
      <x:c r="H17" s="27" t="str">
        <x:v>Selected voluntary/called-in cases only.</x:v>
      </x:c>
      <x:c r="I17" s="27" t="str">
        <x:v>S011</x:v>
      </x:c>
      <x:c r="J17" s="27" t="str">
        <x:v>5</x:v>
      </x:c>
      <x:c r="K17" s="27" t="str"/>
    </x:row>
    <x:row r="18">
      <x:c r="A18" s="27" t="str">
        <x:v>2012/13</x:v>
      </x:c>
      <x:c r="B18" s="27" t="n">
        <x:v>33</x:v>
      </x:c>
      <x:c r="C18" s="27" t="n">
        <x:v>30</x:v>
      </x:c>
      <x:c r="D18" s="27" t="str">
        <x:v>NR</x:v>
      </x:c>
      <x:c r="E18" s="27" t="str">
        <x:v>NR</x:v>
      </x:c>
      <x:c r="F18" s="27" t="str">
        <x:v>NR</x:v>
      </x:c>
      <x:c r="G18" s="27" t="str">
        <x:v>NR</x:v>
      </x:c>
      <x:c r="H18" s="27" t="str">
        <x:v>Selected voluntary/called-in cases only.</x:v>
      </x:c>
      <x:c r="I18" s="27" t="str">
        <x:v>S012</x:v>
      </x:c>
      <x:c r="J18" s="27" t="str">
        <x:v>3</x:v>
      </x:c>
      <x:c r="K18" s="27" t="str"/>
    </x:row>
    <x:row r="19">
      <x:c r="A19" s="27" t="str">
        <x:v>2013/14</x:v>
      </x:c>
      <x:c r="B19" s="27" t="n">
        <x:v>16</x:v>
      </x:c>
      <x:c r="C19" s="27" t="n">
        <x:v>20</x:v>
      </x:c>
      <x:c r="D19" s="27" t="str">
        <x:v>NR</x:v>
      </x:c>
      <x:c r="E19" s="27" t="str">
        <x:v>NR</x:v>
      </x:c>
      <x:c r="F19" s="27" t="str">
        <x:v>NR</x:v>
      </x:c>
      <x:c r="G19" s="27" t="str">
        <x:v>NR</x:v>
      </x:c>
      <x:c r="H19" s="27" t="str">
        <x:v>Selected voluntary/called-in cases only.</x:v>
      </x:c>
      <x:c r="I19" s="27" t="str">
        <x:v>S013</x:v>
      </x:c>
      <x:c r="J19" s="27" t="str">
        <x:v>3</x:v>
      </x:c>
      <x:c r="K19" s="27" t="str"/>
    </x:row>
    <x:row r="20">
      <x:c r="A20" s="27" t="str">
        <x:v>2014/15</x:v>
      </x:c>
      <x:c r="B20" s="27" t="n">
        <x:v>16</x:v>
      </x:c>
      <x:c r="C20" s="27" t="n">
        <x:v>16</x:v>
      </x:c>
      <x:c r="D20" s="27" t="str">
        <x:v>NR</x:v>
      </x:c>
      <x:c r="E20" s="27" t="str">
        <x:v>NR</x:v>
      </x:c>
      <x:c r="F20" s="27" t="str">
        <x:v>NR</x:v>
      </x:c>
      <x:c r="G20" s="27" t="str">
        <x:v>NR</x:v>
      </x:c>
      <x:c r="H20" s="27" t="str">
        <x:v>Selected voluntary/called-in cases only.</x:v>
      </x:c>
      <x:c r="I20" s="27" t="str">
        <x:v>S014</x:v>
      </x:c>
      <x:c r="J20" s="27" t="str">
        <x:v>2</x:v>
      </x:c>
      <x:c r="K20" s="27" t="str"/>
    </x:row>
    <x:row r="21">
      <x:c r="A21" s="27" t="str">
        <x:v>2015/16</x:v>
      </x:c>
      <x:c r="B21" s="27" t="n">
        <x:v>13</x:v>
      </x:c>
      <x:c r="C21" s="27" t="n">
        <x:v>14</x:v>
      </x:c>
      <x:c r="D21" s="27" t="str">
        <x:v>NR</x:v>
      </x:c>
      <x:c r="E21" s="27" t="str">
        <x:v>NR</x:v>
      </x:c>
      <x:c r="F21" s="27" t="str">
        <x:v>NR</x:v>
      </x:c>
      <x:c r="G21" s="27" t="str">
        <x:v>NR</x:v>
      </x:c>
      <x:c r="H21" s="27" t="str">
        <x:v>Selected voluntary/called-in cases only.</x:v>
      </x:c>
      <x:c r="I21" s="27" t="str">
        <x:v>S015</x:v>
      </x:c>
      <x:c r="J21" s="27" t="str">
        <x:v>4</x:v>
      </x:c>
      <x:c r="K21" s="27" t="str"/>
    </x:row>
    <x:row r="22">
      <x:c r="A22" s="27" t="str">
        <x:v>2016/17</x:v>
      </x:c>
      <x:c r="B22" s="27" t="n">
        <x:v>6</x:v>
      </x:c>
      <x:c r="C22" s="27" t="n">
        <x:v>6</x:v>
      </x:c>
      <x:c r="D22" s="27" t="n">
        <x:v>6</x:v>
      </x:c>
      <x:c r="E22" s="27" t="n">
        <x:v>0</x:v>
      </x:c>
      <x:c r="F22" s="27" t="n">
        <x:v>0</x:v>
      </x:c>
      <x:c r="G22" s="27" t="str">
        <x:v>NR</x:v>
      </x:c>
      <x:c r="H22" s="27" t="str">
        <x:v>Selected voluntary/called-in cases only.</x:v>
      </x:c>
      <x:c r="I22" s="27" t="str">
        <x:v>S016</x:v>
      </x:c>
      <x:c r="J22" s="27" t="str">
        <x:v>4</x:v>
      </x:c>
      <x:c r="K22" s="27" t="str"/>
    </x:row>
    <x:row r="23">
      <x:c r="A23" s="27" t="str">
        <x:v>2017/18</x:v>
      </x:c>
      <x:c r="B23" s="27" t="n">
        <x:v>9</x:v>
      </x:c>
      <x:c r="C23" s="27" t="n">
        <x:v>8</x:v>
      </x:c>
      <x:c r="D23" s="27" t="str">
        <x:v>NR</x:v>
      </x:c>
      <x:c r="E23" s="27" t="str">
        <x:v>NR</x:v>
      </x:c>
      <x:c r="F23" s="27" t="str">
        <x:v>NR</x:v>
      </x:c>
      <x:c r="G23" s="27" t="str">
        <x:v>NR</x:v>
      </x:c>
      <x:c r="H23" s="27" t="str">
        <x:v>Threshold transition year.</x:v>
      </x:c>
      <x:c r="I23" s="27" t="str">
        <x:v>S017</x:v>
      </x:c>
      <x:c r="J23" s="27" t="str">
        <x:v>8</x:v>
      </x:c>
      <x:c r="K23" s="27" t="str"/>
    </x:row>
    <x:row r="24">
      <x:c r="A24" s="27" t="str">
        <x:v>2018/19</x:v>
      </x:c>
      <x:c r="B24" s="27" t="n">
        <x:v>9</x:v>
      </x:c>
      <x:c r="C24" s="27" t="n">
        <x:v>9</x:v>
      </x:c>
      <x:c r="D24" s="27" t="str">
        <x:v>NR</x:v>
      </x:c>
      <x:c r="E24" s="27" t="str">
        <x:v>NR</x:v>
      </x:c>
      <x:c r="F24" s="27" t="str">
        <x:v>NR</x:v>
      </x:c>
      <x:c r="G24" s="27" t="str">
        <x:v>NR</x:v>
      </x:c>
      <x:c r="H24" s="27" t="str">
        <x:v>Selected voluntary/called-in cases only.</x:v>
      </x:c>
      <x:c r="I24" s="27" t="str">
        <x:v>S018</x:v>
      </x:c>
      <x:c r="J24" s="27" t="str">
        <x:v>3</x:v>
      </x:c>
      <x:c r="K24" s="27" t="str"/>
    </x:row>
    <x:row r="25">
      <x:c r="A25" s="27" t="str">
        <x:v>2019/20</x:v>
      </x:c>
      <x:c r="B25" s="27" t="n">
        <x:v>3</x:v>
      </x:c>
      <x:c r="C25" s="27" t="n">
        <x:v>4</x:v>
      </x:c>
      <x:c r="D25" s="27" t="str">
        <x:v>NR</x:v>
      </x:c>
      <x:c r="E25" s="27" t="str">
        <x:v>NR</x:v>
      </x:c>
      <x:c r="F25" s="27" t="str">
        <x:v>NR</x:v>
      </x:c>
      <x:c r="G25" s="27" t="str">
        <x:v>NR</x:v>
      </x:c>
      <x:c r="H25" s="27" t="str">
        <x:v>Selected voluntary/called-in cases only.</x:v>
      </x:c>
      <x:c r="I25" s="27" t="str">
        <x:v>S019</x:v>
      </x:c>
      <x:c r="J25" s="27" t="str">
        <x:v>2</x:v>
      </x:c>
      <x:c r="K25" s="27" t="str"/>
    </x:row>
    <x:row r="26">
      <x:c r="A26" s="27" t="str">
        <x:v>2020/21</x:v>
      </x:c>
      <x:c r="B26" s="27" t="n">
        <x:v>9</x:v>
      </x:c>
      <x:c r="C26" s="27" t="n">
        <x:v>8</x:v>
      </x:c>
      <x:c r="D26" s="27" t="n">
        <x:v>7</x:v>
      </x:c>
      <x:c r="E26" s="27" t="n">
        <x:v>1</x:v>
      </x:c>
      <x:c r="F26" s="27" t="n">
        <x:v>0</x:v>
      </x:c>
      <x:c r="G26" s="27" t="n">
        <x:v>1</x:v>
      </x:c>
      <x:c r="H26" s="27" t="str">
        <x:v>Selected voluntary/called-in cases only.</x:v>
      </x:c>
      <x:c r="I26" s="27" t="str">
        <x:v>S020</x:v>
      </x:c>
      <x:c r="J26" s="27" t="str">
        <x:v>3</x:v>
      </x:c>
      <x:c r="K26" s="27" t="str">
        <x:v>Residual may be outside finalised definition.</x:v>
      </x:c>
    </x:row>
    <x:row r="27">
      <x:c r="A27" s="27" t="str">
        <x:v>2021/22</x:v>
      </x:c>
      <x:c r="B27" s="27" t="n">
        <x:v>9</x:v>
      </x:c>
      <x:c r="C27" s="27" t="n">
        <x:v>5</x:v>
      </x:c>
      <x:c r="D27" s="27" t="n">
        <x:v>4</x:v>
      </x:c>
      <x:c r="E27" s="27" t="n">
        <x:v>0</x:v>
      </x:c>
      <x:c r="F27" s="27" t="n">
        <x:v>0</x:v>
      </x:c>
      <x:c r="G27" s="27" t="n">
        <x:v>1</x:v>
      </x:c>
      <x:c r="H27" s="27" t="str">
        <x:v>Selected voluntary/called-in cases only.</x:v>
      </x:c>
      <x:c r="I27" s="27" t="str">
        <x:v>S021</x:v>
      </x:c>
      <x:c r="J27" s="27" t="str">
        <x:v>2</x:v>
      </x:c>
      <x:c r="K27" s="27" t="str"/>
    </x:row>
    <x:row r="28">
      <x:c r="A28" s="27" t="str">
        <x:v>2022/23</x:v>
      </x:c>
      <x:c r="B28" s="27" t="n">
        <x:v>6</x:v>
      </x:c>
      <x:c r="C28" s="27" t="n">
        <x:v>10</x:v>
      </x:c>
      <x:c r="D28" s="27" t="n">
        <x:v>5</x:v>
      </x:c>
      <x:c r="E28" s="27" t="n">
        <x:v>5</x:v>
      </x:c>
      <x:c r="F28" s="27" t="n">
        <x:v>0</x:v>
      </x:c>
      <x:c r="G28" s="27" t="n">
        <x:v>0</x:v>
      </x:c>
      <x:c r="H28" s="27" t="str">
        <x:v>Revised small-merger guidelines adopted during FY.</x:v>
      </x:c>
      <x:c r="I28" s="27" t="str">
        <x:v>S022</x:v>
      </x:c>
      <x:c r="J28" s="27" t="str">
        <x:v>4</x:v>
      </x:c>
      <x:c r="K28" s="27" t="str">
        <x:v>Aggregate notification components internally inconsistent.</x:v>
      </x:c>
    </x:row>
    <x:row r="29">
      <x:c r="A29" s="27" t="str">
        <x:v>2023/24</x:v>
      </x:c>
      <x:c r="B29" s="27" t="n">
        <x:v>8</x:v>
      </x:c>
      <x:c r="C29" s="27" t="n">
        <x:v>4</x:v>
      </x:c>
      <x:c r="D29" s="27" t="n">
        <x:v>6</x:v>
      </x:c>
      <x:c r="E29" s="27" t="n">
        <x:v>1</x:v>
      </x:c>
      <x:c r="F29" s="27" t="n">
        <x:v>0</x:v>
      </x:c>
      <x:c r="G29" s="27" t="n">
        <x:v>0</x:v>
      </x:c>
      <x:c r="H29" s="27" t="str">
        <x:v>Commission may call in small merger within six months in specified circumstances.</x:v>
      </x:c>
      <x:c r="I29" s="27" t="str">
        <x:v>S023</x:v>
      </x:c>
      <x:c r="J29" s="27" t="str">
        <x:v>3-4</x:v>
      </x:c>
      <x:c r="K29" s="27" t="str">
        <x:v>By-size outcome counts do not cleanly reconcile with finalised small count.</x:v>
      </x:c>
    </x:row>
    <x:row r="30">
      <x:c r="A30" s="27" t="str">
        <x:v>2024/25</x:v>
      </x:c>
      <x:c r="B30" s="27" t="n">
        <x:v>16</x:v>
      </x:c>
      <x:c r="C30" s="27" t="n">
        <x:v>17</x:v>
      </x:c>
      <x:c r="D30" s="27" t="n">
        <x:v>7</x:v>
      </x:c>
      <x:c r="E30" s="27" t="n">
        <x:v>1</x:v>
      </x:c>
      <x:c r="F30" s="27" t="n">
        <x:v>0</x:v>
      </x:c>
      <x:c r="G30" s="27" t="n">
        <x:v>9</x:v>
      </x:c>
      <x:c r="H30" s="27" t="str">
        <x:v>Commission may call in small merger within six months for competition/public-interest concerns.</x:v>
      </x:c>
      <x:c r="I30" s="27" t="str">
        <x:v>S024</x:v>
      </x:c>
      <x:c r="J30" s="27" t="str">
        <x:v>4</x:v>
      </x:c>
      <x:c r="K30" s="27" t="str">
        <x:v>7+1+0+9=17.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ddcda6696a1f4214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68" hidden="0" customWidth="1"/>
    <x:col min="4" max="4" width="12" hidden="0" customWidth="1"/>
    <x:col min="5" max="5" width="22" hidden="0" customWidth="1"/>
    <x:col min="6" max="6" width="48" hidden="0" customWidth="1"/>
    <x:col min="7" max="7" width="10" hidden="0" customWidth="1"/>
    <x:col min="8" max="8" width="10" hidden="0" customWidth="1"/>
    <x:col min="9" max="9" width="23" hidden="0" customWidth="1"/>
    <x:col min="10" max="10" width="46" hidden="0" customWidth="1"/>
  </x:cols>
  <x:sheetData>
    <x:row r="1" ht="28" customHeight="1">
      <x:c r="A1" s="4" t="str">
        <x:v>Regulatory Workload, Resources and Capacity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Workload is multidimensional: notification volume, complexity, turnaround, remedy monitoring, staffing/capacity and revenue. Notification counts alone are incomplete.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 ht="30" customHeight="1">
      <x:c r="A4" s="20" t="str">
        <x:v>Financial year</x:v>
      </x:c>
      <x:c r="B4" s="20" t="str">
        <x:v>Indicator type</x:v>
      </x:c>
      <x:c r="C4" s="20" t="str">
        <x:v>Commission-reported evidence</x:v>
      </x:c>
      <x:c r="D4" s="20" t="str">
        <x:v>Value</x:v>
      </x:c>
      <x:c r="E4" s="20" t="str">
        <x:v>Unit</x:v>
      </x:c>
      <x:c r="F4" s="20" t="str">
        <x:v>Research significance</x:v>
      </x:c>
      <x:c r="G4" s="20" t="str">
        <x:v>Source_ID</x:v>
      </x:c>
      <x:c r="H4" s="20" t="str">
        <x:v>PDF page</x:v>
      </x:c>
      <x:c r="I4" s="20" t="str">
        <x:v>Use as workload measure?</x:v>
      </x:c>
      <x:c r="J4" s="20" t="str">
        <x:v>Caution</x:v>
      </x:c>
    </x:row>
    <x:row r="5">
      <x:c r="A5" s="27" t="str">
        <x:v>2005/06</x:v>
      </x:c>
      <x:c r="B5" s="27" t="str">
        <x:v>Resource share</x:v>
      </x:c>
      <x:c r="C5" s="27" t="str">
        <x:v>M&amp;A activity accounts for about 30% of Commission resources.</x:v>
      </x:c>
      <x:c r="D5" s="27" t="n">
        <x:v>30</x:v>
      </x:c>
      <x:c r="E5" s="27" t="str">
        <x:v>% of resources</x:v>
      </x:c>
      <x:c r="F5" s="27" t="str">
        <x:v>Direct workload indicator.</x:v>
      </x:c>
      <x:c r="G5" s="27" t="str">
        <x:v>S005</x:v>
      </x:c>
      <x:c r="H5" s="27" t="str">
        <x:v>1</x:v>
      </x:c>
      <x:c r="I5" s="27" t="str">
        <x:v>Direct / strong proxy</x:v>
      </x:c>
      <x:c r="J5" s="27" t="str">
        <x:v>Commission-wide allocation, not a detailed M&amp;A headcount.</x:v>
      </x:c>
    </x:row>
    <x:row r="6">
      <x:c r="A6" s="27" t="str">
        <x:v>2005/06</x:v>
      </x:c>
      <x:c r="B6" s="27" t="str">
        <x:v>Caseload growth</x:v>
      </x:c>
      <x:c r="C6" s="27" t="str">
        <x:v>Notifications increased by 31%; average turnaround stayed around 30 days.</x:v>
      </x:c>
      <x:c r="D6" s="27" t="n">
        <x:v>31</x:v>
      </x:c>
      <x:c r="E6" s="27" t="str">
        <x:v>% y/y notifications</x:v>
      </x:c>
      <x:c r="F6" s="27" t="str">
        <x:v>Growth linked mainly to positive economic environment.</x:v>
      </x:c>
      <x:c r="G6" s="27" t="str">
        <x:v>S005</x:v>
      </x:c>
      <x:c r="H6" s="27" t="str">
        <x:v>1</x:v>
      </x:c>
      <x:c r="I6" s="27" t="str">
        <x:v>Context / supporting</x:v>
      </x:c>
      <x:c r="J6" s="27" t="str">
        <x:v>Not a causal threshold estimate.</x:v>
      </x:c>
    </x:row>
    <x:row r="7">
      <x:c r="A7" s="27" t="str">
        <x:v>2006/07</x:v>
      </x:c>
      <x:c r="B7" s="27" t="str">
        <x:v>Process efficiency</x:v>
      </x:c>
      <x:c r="C7" s="27" t="str">
        <x:v>Average turnaround improved from 30 to 27 days because procedures were streamlined.</x:v>
      </x:c>
      <x:c r="D7" s="27" t="n">
        <x:v>27</x:v>
      </x:c>
      <x:c r="E7" s="27" t="str">
        <x:v>days</x:v>
      </x:c>
      <x:c r="F7" s="27" t="str">
        <x:v>Process change affects workload outcomes independently of thresholds.</x:v>
      </x:c>
      <x:c r="G7" s="27" t="str">
        <x:v>S006</x:v>
      </x:c>
      <x:c r="H7" s="27" t="str">
        <x:v>1</x:v>
      </x:c>
      <x:c r="I7" s="27" t="str">
        <x:v>Direct / strong proxy</x:v>
      </x:c>
      <x:c r="J7" s="27" t="str"/>
    </x:row>
    <x:row r="8">
      <x:c r="A8" s="27" t="str">
        <x:v>2007/08</x:v>
      </x:c>
      <x:c r="B8" s="27" t="str">
        <x:v>Capacity constraint</x:v>
      </x:c>
      <x:c r="C8" s="27" t="str">
        <x:v>Unproblematic mergers imposed unnecessary burden on businesses and strained already-stretched Commission resources.</x:v>
      </x:c>
      <x:c r="D8" s="27" t="str">
        <x:v>NR</x:v>
      </x:c>
      <x:c r="E8" s="27" t="str">
        <x:v>qualitative</x:v>
      </x:c>
      <x:c r="F8" s="27" t="str">
        <x:v>Core rationale for raising thresholds.</x:v>
      </x:c>
      <x:c r="G8" s="27" t="str">
        <x:v>S007</x:v>
      </x:c>
      <x:c r="H8" s="27" t="str">
        <x:v>1</x:v>
      </x:c>
      <x:c r="I8" s="27" t="str">
        <x:v>Strong institutional evidence</x:v>
      </x:c>
      <x:c r="J8" s="27" t="str"/>
    </x:row>
    <x:row r="9">
      <x:c r="A9" s="27" t="str">
        <x:v>2008/09</x:v>
      </x:c>
      <x:c r="B9" s="27" t="str">
        <x:v>Organisational capacity</x:v>
      </x:c>
      <x:c r="C9" s="27" t="str">
        <x:v>Commission structure remained relatively unchanged while notifications increased approximately three-fold from 2001 to 2008.</x:v>
      </x:c>
      <x:c r="D9" s="27" t="str">
        <x:v>NR</x:v>
      </x:c>
      <x:c r="E9" s="27" t="str">
        <x:v>qualitative</x:v>
      </x:c>
      <x:c r="F9" s="27" t="str">
        <x:v>Capacity statement immediately before reset.</x:v>
      </x:c>
      <x:c r="G9" s="27" t="str">
        <x:v>S008</x:v>
      </x:c>
      <x:c r="H9" s="27" t="str">
        <x:v>3</x:v>
      </x:c>
      <x:c r="I9" s="27" t="str">
        <x:v>Supporting evidence</x:v>
      </x:c>
      <x:c r="J9" s="27" t="str"/>
    </x:row>
    <x:row r="10">
      <x:c r="A10" s="27" t="str">
        <x:v>2009/10</x:v>
      </x:c>
      <x:c r="B10" s="27" t="str">
        <x:v>Threshold objective</x:v>
      </x:c>
      <x:c r="C10" s="27" t="str">
        <x:v>Significant threshold increase aimed to decrease notifications and lighten administrative load.</x:v>
      </x:c>
      <x:c r="D10" s="27" t="str">
        <x:v>NR</x:v>
      </x:c>
      <x:c r="E10" s="27" t="str">
        <x:v>qualitative</x:v>
      </x:c>
      <x:c r="F10" s="27" t="str">
        <x:v>Direct policy objective.</x:v>
      </x:c>
      <x:c r="G10" s="27" t="str">
        <x:v>S009</x:v>
      </x:c>
      <x:c r="H10" s="27" t="str">
        <x:v>1</x:v>
      </x:c>
      <x:c r="I10" s="27" t="str">
        <x:v>Strong institutional evidence</x:v>
      </x:c>
      <x:c r="J10" s="27" t="str">
        <x:v>Observed decline also attributed to depressed economy.</x:v>
      </x:c>
    </x:row>
    <x:row r="11">
      <x:c r="A11" s="27" t="str">
        <x:v>2010/11</x:v>
      </x:c>
      <x:c r="B11" s="27" t="str">
        <x:v>Filing-fee revenue</x:v>
      </x:c>
      <x:c r="C11" s="27" t="str">
        <x:v>Commission received R36 million in merger filing fees.</x:v>
      </x:c>
      <x:c r="D11" s="27" t="n">
        <x:v>36</x:v>
      </x:c>
      <x:c r="E11" s="27" t="str">
        <x:v>R million</x:v>
      </x:c>
      <x:c r="F11" s="27" t="str">
        <x:v>Fiscal/resource indicator.</x:v>
      </x:c>
      <x:c r="G11" s="27" t="str">
        <x:v>S010</x:v>
      </x:c>
      <x:c r="H11" s="27" t="str">
        <x:v>1</x:v>
      </x:c>
      <x:c r="I11" s="27" t="str">
        <x:v>Supporting evidence</x:v>
      </x:c>
      <x:c r="J11" s="27" t="str">
        <x:v>Not equivalent to M&amp;A division budget.</x:v>
      </x:c>
    </x:row>
    <x:row r="12">
      <x:c r="A12" s="27" t="str">
        <x:v>2014/15</x:v>
      </x:c>
      <x:c r="B12" s="27" t="str">
        <x:v>Remedy-monitoring workload</x:v>
      </x:c>
      <x:c r="C12" s="27" t="str">
        <x:v>Commission monitored more than 100 merger conditions and closed 52 whose obligations had lapsed.</x:v>
      </x:c>
      <x:c r="D12" s="27" t="n">
        <x:v>100</x:v>
      </x:c>
      <x:c r="E12" s="27" t="str">
        <x:v>conditions monitored (more than)</x:v>
      </x:c>
      <x:c r="F12" s="27" t="str">
        <x:v>Shows post-decision workload beyond filing counts.</x:v>
      </x:c>
      <x:c r="G12" s="27" t="str">
        <x:v>S014</x:v>
      </x:c>
      <x:c r="H12" s="27" t="str">
        <x:v>6</x:v>
      </x:c>
      <x:c r="I12" s="27" t="str">
        <x:v>Direct / strong proxy</x:v>
      </x:c>
      <x:c r="J12" s="27" t="str">
        <x:v>100 is a lower bound.</x:v>
      </x:c>
    </x:row>
    <x:row r="13">
      <x:c r="A13" s="27" t="str">
        <x:v>2015/16</x:v>
      </x:c>
      <x:c r="B13" s="27" t="str">
        <x:v>Complex-case burden</x:v>
      </x:c>
      <x:c r="C13" s="27" t="str">
        <x:v>Phase 3 large target missed; three mobile-telecom mergers took significantly longer.</x:v>
      </x:c>
      <x:c r="D13" s="27" t="n">
        <x:v>128</x:v>
      </x:c>
      <x:c r="E13" s="27" t="str">
        <x:v>avg days Phase 3 large</x:v>
      </x:c>
      <x:c r="F13" s="27" t="str">
        <x:v>Complexity can increase workload independently of volume.</x:v>
      </x:c>
      <x:c r="G13" s="27" t="str">
        <x:v>S015</x:v>
      </x:c>
      <x:c r="H13" s="27" t="str">
        <x:v>5</x:v>
      </x:c>
      <x:c r="I13" s="27" t="str">
        <x:v>Direct / strong proxy</x:v>
      </x:c>
      <x:c r="J13" s="27" t="str"/>
    </x:row>
    <x:row r="14">
      <x:c r="A14" s="27" t="str">
        <x:v>2016/17</x:v>
      </x:c>
      <x:c r="B14" s="27" t="str">
        <x:v>Capacity / retention</x:v>
      </x:c>
      <x:c r="C14" s="27" t="str">
        <x:v>Division reported more progress was needed in retaining experienced resources and managing a higher caseload.</x:v>
      </x:c>
      <x:c r="D14" s="27" t="str">
        <x:v>NR</x:v>
      </x:c>
      <x:c r="E14" s="27" t="str">
        <x:v>qualitative</x:v>
      </x:c>
      <x:c r="F14" s="27" t="str">
        <x:v>Capacity constraint despite meeting service standards.</x:v>
      </x:c>
      <x:c r="G14" s="27" t="str">
        <x:v>S016</x:v>
      </x:c>
      <x:c r="H14" s="27" t="str">
        <x:v>2</x:v>
      </x:c>
      <x:c r="I14" s="27" t="str">
        <x:v>Supporting evidence</x:v>
      </x:c>
      <x:c r="J14" s="27" t="str"/>
    </x:row>
    <x:row r="15">
      <x:c r="A15" s="27" t="str">
        <x:v>2018/19</x:v>
      </x:c>
      <x:c r="B15" s="27" t="str">
        <x:v>Performance targets</x:v>
      </x:c>
      <x:c r="C15" s="27" t="str">
        <x:v>M&amp;A Division met all five performance targets.</x:v>
      </x:c>
      <x:c r="D15" s="27" t="n">
        <x:v>5</x:v>
      </x:c>
      <x:c r="E15" s="27" t="str">
        <x:v>targets met</x:v>
      </x:c>
      <x:c r="F15" s="27" t="str">
        <x:v>Formal performance indicator.</x:v>
      </x:c>
      <x:c r="G15" s="27" t="str">
        <x:v>S018</x:v>
      </x:c>
      <x:c r="H15" s="27" t="str">
        <x:v>1</x:v>
      </x:c>
      <x:c r="I15" s="27" t="str">
        <x:v>Supporting evidence</x:v>
      </x:c>
      <x:c r="J15" s="27" t="str"/>
    </x:row>
    <x:row r="16">
      <x:c r="A16" s="27" t="str">
        <x:v>2019/20</x:v>
      </x:c>
      <x:c r="B16" s="27" t="str">
        <x:v>Performance targets</x:v>
      </x:c>
      <x:c r="C16" s="27" t="str">
        <x:v>M&amp;A Division met all five performance targets.</x:v>
      </x:c>
      <x:c r="D16" s="27" t="n">
        <x:v>5</x:v>
      </x:c>
      <x:c r="E16" s="27" t="str">
        <x:v>targets met</x:v>
      </x:c>
      <x:c r="F16" s="27" t="str">
        <x:v>Formal performance indicator.</x:v>
      </x:c>
      <x:c r="G16" s="27" t="str">
        <x:v>S019</x:v>
      </x:c>
      <x:c r="H16" s="27" t="str">
        <x:v>1</x:v>
      </x:c>
      <x:c r="I16" s="27" t="str">
        <x:v>Supporting evidence</x:v>
      </x:c>
      <x:c r="J16" s="27" t="str"/>
    </x:row>
    <x:row r="17">
      <x:c r="A17" s="27" t="str">
        <x:v>2020/21</x:v>
      </x:c>
      <x:c r="B17" s="27" t="str">
        <x:v>COVID shock</x:v>
      </x:c>
      <x:c r="C17" s="27" t="str">
        <x:v>Subdued economic activity reduced merger filings materially.</x:v>
      </x:c>
      <x:c r="D17" s="27" t="n">
        <x:v>242</x:v>
      </x:c>
      <x:c r="E17" s="27" t="str">
        <x:v>notifications</x:v>
      </x:c>
      <x:c r="F17" s="27" t="str">
        <x:v>External demand shock to workload.</x:v>
      </x:c>
      <x:c r="G17" s="27" t="str">
        <x:v>S020</x:v>
      </x:c>
      <x:c r="H17" s="27" t="str">
        <x:v>3</x:v>
      </x:c>
      <x:c r="I17" s="27" t="str">
        <x:v>Supporting evidence</x:v>
      </x:c>
      <x:c r="J17" s="27" t="str">
        <x:v>Do not attribute fall to thresholds.</x:v>
      </x:c>
    </x:row>
    <x:row r="18">
      <x:c r="A18" s="27" t="str">
        <x:v>2021/22</x:v>
      </x:c>
      <x:c r="B18" s="27" t="str">
        <x:v>Performance targets</x:v>
      </x:c>
      <x:c r="C18" s="27" t="str">
        <x:v>One turnaround target was not met: Phase 3 large mergers.</x:v>
      </x:c>
      <x:c r="D18" s="27" t="n">
        <x:v>1</x:v>
      </x:c>
      <x:c r="E18" s="27" t="str">
        <x:v>target missed</x:v>
      </x:c>
      <x:c r="F18" s="27" t="str">
        <x:v>Complex-case service pressure.</x:v>
      </x:c>
      <x:c r="G18" s="27" t="str">
        <x:v>S021</x:v>
      </x:c>
      <x:c r="H18" s="27" t="str">
        <x:v>2</x:v>
      </x:c>
      <x:c r="I18" s="27" t="str">
        <x:v>Direct / supporting</x:v>
      </x:c>
      <x:c r="J18" s="27" t="str"/>
    </x:row>
    <x:row r="19">
      <x:c r="A19" s="27" t="str">
        <x:v>2022/23</x:v>
      </x:c>
      <x:c r="B19" s="27" t="str">
        <x:v>Turnaround performance</x:v>
      </x:c>
      <x:c r="C19" s="27" t="str">
        <x:v>All reported phase turnaround averages met service standards.</x:v>
      </x:c>
      <x:c r="D19" s="27" t="n">
        <x:v>4</x:v>
      </x:c>
      <x:c r="E19" s="27" t="str">
        <x:v>phase metrics met</x:v>
      </x:c>
      <x:c r="F19" s="27" t="str">
        <x:v>Operational performance alongside rising public-interest intensity.</x:v>
      </x:c>
      <x:c r="G19" s="27" t="str">
        <x:v>S022</x:v>
      </x:c>
      <x:c r="H19" s="27" t="str">
        <x:v>4</x:v>
      </x:c>
      <x:c r="I19" s="27" t="str">
        <x:v>Direct / supporting</x:v>
      </x:c>
      <x:c r="J19" s="27" t="str"/>
    </x:row>
    <x:row r="20">
      <x:c r="A20" s="27" t="str">
        <x:v>2023/24</x:v>
      </x:c>
      <x:c r="B20" s="27" t="str">
        <x:v>Conditional-remedy intensity</x:v>
      </x:c>
      <x:c r="C20" s="27" t="str">
        <x:v>Conditional approvals rose to approximately 47% of finalised cases.</x:v>
      </x:c>
      <x:c r="D20" s="27" t="n">
        <x:v>47</x:v>
      </x:c>
      <x:c r="E20" s="27" t="str">
        <x:v>% finalised</x:v>
      </x:c>
      <x:c r="F20" s="27" t="str">
        <x:v>Remedy design/monitoring add workload not captured by filings.</x:v>
      </x:c>
      <x:c r="G20" s="27" t="str">
        <x:v>S023</x:v>
      </x:c>
      <x:c r="H20" s="27" t="str">
        <x:v>4</x:v>
      </x:c>
      <x:c r="I20" s="27" t="str">
        <x:v>Direct / supporting</x:v>
      </x:c>
      <x:c r="J20" s="27" t="str">
        <x:v>Public-interest implementation is a structural confounder.</x:v>
      </x:c>
    </x:row>
    <x:row r="21">
      <x:c r="A21" s="27" t="str">
        <x:v>2024/25</x:v>
      </x:c>
      <x:c r="B21" s="27" t="str">
        <x:v>Caseload rebound</x:v>
      </x:c>
      <x:c r="C21" s="27" t="str">
        <x:v>Notifications rose 23% y/y to 330; all turnaround targets met.</x:v>
      </x:c>
      <x:c r="D21" s="27" t="n">
        <x:v>23</x:v>
      </x:c>
      <x:c r="E21" s="27" t="str">
        <x:v>% y/y notifications</x:v>
      </x:c>
      <x:c r="F21" s="27" t="str">
        <x:v>Workload can rebound sharply within fixed nominal threshold regime.</x:v>
      </x:c>
      <x:c r="G21" s="27" t="str">
        <x:v>S024</x:v>
      </x:c>
      <x:c r="H21" s="27" t="str">
        <x:v>3-4</x:v>
      </x:c>
      <x:c r="I21" s="27" t="str">
        <x:v>Direct / supporting</x:v>
      </x:c>
      <x:c r="J21" s="27" t="str">
        <x:v>Improved economic activity cited.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fb9324bcd6c046ff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36" hidden="0" customWidth="1"/>
    <x:col min="4" max="4" width="72" hidden="0" customWidth="1"/>
    <x:col min="5" max="5" width="46" hidden="0" customWidth="1"/>
    <x:col min="6" max="6" width="10" hidden="0" customWidth="1"/>
    <x:col min="7" max="7" width="10" hidden="0" customWidth="1"/>
    <x:col min="8" max="8" width="22" hidden="0" customWidth="1"/>
    <x:col min="9" max="9" width="62" hidden="0" customWidth="1"/>
    <x:col min="10" max="10" width="18" hidden="0" customWidth="1"/>
  </x:cols>
  <x:sheetData>
    <x:row r="1" ht="28" customHeight="1">
      <x:c r="A1" s="4" t="str">
        <x:v>Commission Commentary on Merger Thresholds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Policy claims are separated from researcher interpretation. Annual-report commentary is institutional evidence, not a causal estimate.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 ht="30" customHeight="1">
      <x:c r="A4" s="20" t="str">
        <x:v>Financial year</x:v>
      </x:c>
      <x:c r="B4" s="20" t="str">
        <x:v>Topic</x:v>
      </x:c>
      <x:c r="C4" s="20" t="str">
        <x:v>Policy claim type</x:v>
      </x:c>
      <x:c r="D4" s="20" t="str">
        <x:v>Commission statement / paraphrase</x:v>
      </x:c>
      <x:c r="E4" s="20" t="str">
        <x:v>Short supporting wording</x:v>
      </x:c>
      <x:c r="F4" s="20" t="str">
        <x:v>Page</x:v>
      </x:c>
      <x:c r="G4" s="20" t="str">
        <x:v>Source_ID</x:v>
      </x:c>
      <x:c r="H4" s="20" t="str">
        <x:v>Claim timing</x:v>
      </x:c>
      <x:c r="I4" s="20" t="str">
        <x:v>Researcher interpretation</x:v>
      </x:c>
      <x:c r="J4" s="20" t="str">
        <x:v>Structural-break relevance</x:v>
      </x:c>
    </x:row>
    <x:row r="5">
      <x:c r="A5" s="27" t="str">
        <x:v>2007/08</x:v>
      </x:c>
      <x:c r="B5" s="27" t="str">
        <x:v>Threshold erosion and burden</x:v>
      </x:c>
      <x:c r="C5" s="27" t="str">
        <x:v>reduce notifications; reduce workload; focus on complex mergers</x:v>
      </x:c>
      <x:c r="D5" s="27" t="str">
        <x:v>Commission argued thresholds set in 2001 had become too low relative to economic expansion and many routine filings imposed unnecessary burden.</x:v>
      </x:c>
      <x:c r="E5" s="27" t="str">
        <x:v>thresholds fixed while economy and market values expanded</x:v>
      </x:c>
      <x:c r="F5" s="27" t="str">
        <x:v>1</x:v>
      </x:c>
      <x:c r="G5" s="27" t="str">
        <x:v>S007</x:v>
      </x:c>
      <x:c r="H5" s="27" t="str">
        <x:v>Rationale / recommendation</x:v>
      </x:c>
      <x:c r="I5" s="27" t="str">
        <x:v>Institutional evidence for nominal-threshold erosion; no single benchmark is implied.</x:v>
      </x:c>
      <x:c r="J5" s="27" t="str">
        <x:v>High</x:v>
      </x:c>
    </x:row>
    <x:row r="6">
      <x:c r="A6" s="27" t="str">
        <x:v>2007/08</x:v>
      </x:c>
      <x:c r="B6" s="27" t="str">
        <x:v>Economic benchmarks cited</x:v>
      </x:c>
      <x:c r="C6" s="27" t="str">
        <x:v>reduce workload</x:v>
      </x:c>
      <x:c r="D6" s="27" t="str">
        <x:v>Report cited nominal GDP, JSE market capitalisation and CPI growth when motivating review.</x:v>
      </x:c>
      <x:c r="E6" s="27" t="str">
        <x:v>nominal GDP +89%; JSE market capitalisation nearly tripled; CPI +43%</x:v>
      </x:c>
      <x:c r="F6" s="27" t="str">
        <x:v>1</x:v>
      </x:c>
      <x:c r="G6" s="27" t="str">
        <x:v>S007</x:v>
      </x:c>
      <x:c r="H6" s="27" t="str">
        <x:v>Rationale</x:v>
      </x:c>
      <x:c r="I6" s="27" t="str">
        <x:v>Commission itself referenced multiple economic scales.</x:v>
      </x:c>
      <x:c r="J6" s="27" t="str">
        <x:v>High</x:v>
      </x:c>
    </x:row>
    <x:row r="7">
      <x:c r="A7" s="27" t="str">
        <x:v>2007/08</x:v>
      </x:c>
      <x:c r="B7" s="27" t="str">
        <x:v>Projected caseload</x:v>
      </x:c>
      <x:c r="C7" s="27" t="str">
        <x:v>reduce notifications; improve enforcement efficiency</x:v>
      </x:c>
      <x:c r="D7" s="27" t="str">
        <x:v>Commission warned filings could almost double by 2010 if trajectory continued while nearly all mergers were approved.</x:v>
      </x:c>
      <x:c r="E7" s="27" t="str">
        <x:v>regulatory net widened under fixed thresholds</x:v>
      </x:c>
      <x:c r="F7" s="27" t="str">
        <x:v>1</x:v>
      </x:c>
      <x:c r="G7" s="27" t="str">
        <x:v>S007</x:v>
      </x:c>
      <x:c r="H7" s="27" t="str">
        <x:v>Expected effect / recommendation</x:v>
      </x:c>
      <x:c r="I7" s="27" t="str">
        <x:v>Forecast is not an observed counterfactual.</x:v>
      </x:c>
      <x:c r="J7" s="27" t="str">
        <x:v>High</x:v>
      </x:c>
    </x:row>
    <x:row r="8">
      <x:c r="A8" s="27" t="str">
        <x:v>2008/09</x:v>
      </x:c>
      <x:c r="B8" s="27" t="str">
        <x:v>Expected effect of higher thresholds</x:v>
      </x:c>
      <x:c r="C8" s="27" t="str">
        <x:v>reduce compliance burden; reduce workload</x:v>
      </x:c>
      <x:c r="D8" s="27" t="str">
        <x:v>Revised thresholds were expected to remove routine notifications and reduce burden on firms and authority.</x:v>
      </x:c>
      <x:c r="E8" s="27" t="str">
        <x:v>threshold increase welcomed as reducing unnecessary burden</x:v>
      </x:c>
      <x:c r="F8" s="27" t="str">
        <x:v>1-3</x:v>
      </x:c>
      <x:c r="G8" s="27" t="str">
        <x:v>S008</x:v>
      </x:c>
      <x:c r="H8" s="27" t="str">
        <x:v>Expected effect</x:v>
      </x:c>
      <x:c r="I8" s="27" t="str">
        <x:v>Pre-treatment institutional expectation.</x:v>
      </x:c>
      <x:c r="J8" s="27" t="str">
        <x:v>High</x:v>
      </x:c>
    </x:row>
    <x:row r="9">
      <x:c r="A9" s="27" t="str">
        <x:v>2008/09</x:v>
      </x:c>
      <x:c r="B9" s="27" t="str">
        <x:v>Capacity before reset</x:v>
      </x:c>
      <x:c r="C9" s="27" t="str">
        <x:v>reduce workload</x:v>
      </x:c>
      <x:c r="D9" s="27" t="str">
        <x:v>Commission structure changed little while notifications rose approximately three-fold from 2001 to 2008.</x:v>
      </x:c>
      <x:c r="E9" s="27" t="str">
        <x:v>structure relatively unchanged; notifications rose sharply</x:v>
      </x:c>
      <x:c r="F9" s="27" t="str">
        <x:v>3</x:v>
      </x:c>
      <x:c r="G9" s="27" t="str">
        <x:v>S008</x:v>
      </x:c>
      <x:c r="H9" s="27" t="str">
        <x:v>Rationale</x:v>
      </x:c>
      <x:c r="I9" s="27" t="str">
        <x:v>Strengthens resource-constraint channel.</x:v>
      </x:c>
      <x:c r="J9" s="27" t="str">
        <x:v>High</x:v>
      </x:c>
    </x:row>
    <x:row r="10">
      <x:c r="A10" s="27" t="str">
        <x:v>2009/10</x:v>
      </x:c>
      <x:c r="B10" s="27" t="str">
        <x:v>Observed effect after reset</x:v>
      </x:c>
      <x:c r="C10" s="27" t="str">
        <x:v>reduce notifications; reduce workload</x:v>
      </x:c>
      <x:c r="D10" s="27" t="str">
        <x:v>Commission states threshold increase was intended to reduce notifications and lighten load, and it clearly contributed to the decline.</x:v>
      </x:c>
      <x:c r="E10" s="27" t="str">
        <x:v>thresholds affected notifications; depressed economy also contributed</x:v>
      </x:c>
      <x:c r="F10" s="27" t="str">
        <x:v>1</x:v>
      </x:c>
      <x:c r="G10" s="27" t="str">
        <x:v>S009</x:v>
      </x:c>
      <x:c r="H10" s="27" t="str">
        <x:v>Observed effect</x:v>
      </x:c>
      <x:c r="I10" s="27" t="str">
        <x:v>Key identification warning: reset and recession coincide.</x:v>
      </x:c>
      <x:c r="J10" s="27" t="str">
        <x:v>High</x:v>
      </x:c>
    </x:row>
    <x:row r="11">
      <x:c r="A11" s="27" t="str">
        <x:v>2011/12</x:v>
      </x:c>
      <x:c r="B11" s="27" t="str">
        <x:v>Post-reset complexity</x:v>
      </x:c>
      <x:c r="C11" s="27" t="str">
        <x:v>focus on complex mergers</x:v>
      </x:c>
      <x:c r="D11" s="27" t="str">
        <x:v>Historical phase series shows pronounced Phase 1 fall after April 2009 while complex cases became a larger share.</x:v>
      </x:c>
      <x:c r="E11" s="27" t="str">
        <x:v>Phase 1 fell 342 to 123</x:v>
      </x:c>
      <x:c r="F11" s="27" t="str">
        <x:v>3</x:v>
      </x:c>
      <x:c r="G11" s="27" t="str">
        <x:v>S011</x:v>
      </x:c>
      <x:c r="H11" s="27" t="str">
        <x:v>Retrospective evidence</x:v>
      </x:c>
      <x:c r="I11" s="27" t="str">
        <x:v>Consistent with screening out routine cases; descriptive only.</x:v>
      </x:c>
      <x:c r="J11" s="27" t="str">
        <x:v>Medium</x:v>
      </x:c>
    </x:row>
    <x:row r="12">
      <x:c r="A12" s="27" t="str">
        <x:v>2022/23</x:v>
      </x:c>
      <x:c r="B12" s="27" t="str">
        <x:v>Small-merger guideline revision</x:v>
      </x:c>
      <x:c r="C12" s="27" t="str">
        <x:v>capture harmful small mergers</x:v>
      </x:c>
      <x:c r="D12" s="27" t="str">
        <x:v>Final small-merger guidelines were revised to address transactions, including digital/technology acquisitions, that may fall below ordinary financial thresholds.</x:v>
      </x:c>
      <x:c r="E12" s="27" t="str">
        <x:v>expanded safeguards for potentially significant below-threshold deals</x:v>
      </x:c>
      <x:c r="F12" s="27" t="str">
        <x:v>UC</x:v>
      </x:c>
      <x:c r="G12" s="27" t="str">
        <x:v>S022</x:v>
      </x:c>
      <x:c r="H12" s="27" t="str">
        <x:v>Institutional change</x:v>
      </x:c>
      <x:c r="I12" s="27" t="str">
        <x:v>Below threshold does not mean outside regulatory reach.</x:v>
      </x:c>
      <x:c r="J12" s="27" t="str">
        <x:v>High</x:v>
      </x:c>
    </x:row>
    <x:row r="13">
      <x:c r="A13" s="27" t="str">
        <x:v>2024/25</x:v>
      </x:c>
      <x:c r="B13" s="27" t="str">
        <x:v>Threshold status</x:v>
      </x:c>
      <x:c r="C13" s="27" t="str">
        <x:v>threshold review context</x:v>
      </x:c>
      <x:c r="D13" s="27" t="str">
        <x:v>Annual report states thresholds had last been revised in October 2017 and remained R600m/R100m intermediate and R6.6bn/R190m large.</x:v>
      </x:c>
      <x:c r="E13" s="27" t="str">
        <x:v>thresholds last revised October 2017</x:v>
      </x:c>
      <x:c r="F13" s="27" t="str">
        <x:v>3</x:v>
      </x:c>
      <x:c r="G13" s="27" t="str">
        <x:v>S024</x:v>
      </x:c>
      <x:c r="H13" s="27" t="str">
        <x:v>Status / retrospective</x:v>
      </x:c>
      <x:c r="I13" s="27" t="str">
        <x:v>Confirms long fixed-nominal spell immediately before 2026 reform.</x:v>
      </x:c>
      <x:c r="J13" s="27" t="str">
        <x:v>High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95da7e72fc284b74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5" hidden="0" customWidth="1"/>
    <x:col min="4" max="4" width="70" hidden="0" customWidth="1"/>
    <x:col min="5" max="5" width="10" hidden="0" customWidth="1"/>
    <x:col min="6" max="6" width="10" hidden="0" customWidth="1"/>
    <x:col min="7" max="7" width="62" hidden="0" customWidth="1"/>
    <x:col min="8" max="8" width="24" hidden="0" customWidth="1"/>
  </x:cols>
  <x:sheetData>
    <x:row r="1" ht="28" customHeight="1">
      <x:c r="A1" s="4" t="str">
        <x:v>Narrative Explanations of Year-to-Year Changes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Commission explanations are stored separately from researcher interpretation so threshold effects are not mechanically inferred from annual movements.</x:v>
      </x:c>
      <x:c r="B2" s="11"/>
      <x:c r="C2" s="11"/>
      <x:c r="D2" s="11"/>
      <x:c r="E2" s="11"/>
      <x:c r="F2" s="11"/>
      <x:c r="G2" s="11"/>
      <x:c r="H2" s="11"/>
    </x:row>
    <x:row r="4" ht="30" customHeight="1">
      <x:c r="A4" s="20" t="str">
        <x:v>Financial year</x:v>
      </x:c>
      <x:c r="B4" s="20" t="str">
        <x:v>Variable changing</x:v>
      </x:c>
      <x:c r="C4" s="20" t="str">
        <x:v>Direction / magnitude</x:v>
      </x:c>
      <x:c r="D4" s="20" t="str">
        <x:v>Commission explanation</x:v>
      </x:c>
      <x:c r="E4" s="20" t="str">
        <x:v>Page</x:v>
      </x:c>
      <x:c r="F4" s="20" t="str">
        <x:v>Source_ID</x:v>
      </x:c>
      <x:c r="G4" s="20" t="str">
        <x:v>Interpretation</x:v>
      </x:c>
      <x:c r="H4" s="20" t="str">
        <x:v>Research classification</x:v>
      </x:c>
    </x:row>
    <x:row r="5">
      <x:c r="A5" s="27" t="str">
        <x:v>2005/06</x:v>
      </x:c>
      <x:c r="B5" s="27" t="str">
        <x:v>Notifications</x:v>
      </x:c>
      <x:c r="C5" s="27" t="str">
        <x:v>+31% y/y</x:v>
      </x:c>
      <x:c r="D5" s="27" t="str">
        <x:v>Growth attributed mainly to a positive economic environment stimulating company growth/expansion.</x:v>
      </x:c>
      <x:c r="E5" s="27" t="str">
        <x:v>1</x:v>
      </x:c>
      <x:c r="F5" s="27" t="str">
        <x:v>S005</x:v>
      </x:c>
      <x:c r="G5" s="27" t="str">
        <x:v>Macro/M&amp;A cycle effect.</x:v>
      </x:c>
      <x:c r="H5" s="27" t="str">
        <x:v>Economic conditions</x:v>
      </x:c>
    </x:row>
    <x:row r="6">
      <x:c r="A6" s="27" t="str">
        <x:v>2006/07</x:v>
      </x:c>
      <x:c r="B6" s="27" t="str">
        <x:v>Notifications</x:v>
      </x:c>
      <x:c r="C6" s="27" t="str">
        <x:v>408 to 413</x:v>
      </x:c>
      <x:c r="D6" s="27" t="str">
        <x:v>Merger activity remained high/stable alongside local and global corporate activity.</x:v>
      </x:c>
      <x:c r="E6" s="27" t="str">
        <x:v>1</x:v>
      </x:c>
      <x:c r="F6" s="27" t="str">
        <x:v>S006</x:v>
      </x:c>
      <x:c r="G6" s="27" t="str">
        <x:v>Stable high caseload under unchanged thresholds.</x:v>
      </x:c>
      <x:c r="H6" s="27" t="str">
        <x:v>M&amp;A cycle</x:v>
      </x:c>
    </x:row>
    <x:row r="7">
      <x:c r="A7" s="27" t="str">
        <x:v>2007/08</x:v>
      </x:c>
      <x:c r="B7" s="27" t="str">
        <x:v>Notifications</x:v>
      </x:c>
      <x:c r="C7" s="27" t="str">
        <x:v>413 to 513</x:v>
      </x:c>
      <x:c r="D7" s="27" t="str">
        <x:v>Commission linked rising filings to economic growth and unchanged nominal thresholds widening the notification net.</x:v>
      </x:c>
      <x:c r="E7" s="27" t="str">
        <x:v>1</x:v>
      </x:c>
      <x:c r="F7" s="27" t="str">
        <x:v>S007</x:v>
      </x:c>
      <x:c r="G7" s="27" t="str">
        <x:v>Threshold erosion and cycle move together.</x:v>
      </x:c>
      <x:c r="H7" s="27" t="str">
        <x:v>Threshold + economy</x:v>
      </x:c>
    </x:row>
    <x:row r="8">
      <x:c r="A8" s="27" t="str">
        <x:v>2008/09</x:v>
      </x:c>
      <x:c r="B8" s="27" t="str">
        <x:v>Notifications</x:v>
      </x:c>
      <x:c r="C8" s="27" t="str">
        <x:v>513 to 414/415</x:v>
      </x:c>
      <x:c r="D8" s="27" t="str">
        <x:v>Report period coincided with global economic/financial slowdown.</x:v>
      </x:c>
      <x:c r="E8" s="27" t="str">
        <x:v>1</x:v>
      </x:c>
      <x:c r="F8" s="27" t="str">
        <x:v>S008</x:v>
      </x:c>
      <x:c r="G8" s="27" t="str">
        <x:v>Macro confound before reset.</x:v>
      </x:c>
      <x:c r="H8" s="27" t="str">
        <x:v>Financial crisis</x:v>
      </x:c>
    </x:row>
    <x:row r="9">
      <x:c r="A9" s="27" t="str">
        <x:v>2009/10</x:v>
      </x:c>
      <x:c r="B9" s="27" t="str">
        <x:v>Notifications</x:v>
      </x:c>
      <x:c r="C9" s="27" t="str">
        <x:v>415 to 190 (-54%)</x:v>
      </x:c>
      <x:c r="D9" s="27" t="str">
        <x:v>Commission attributes fall to threshold increase and depressed economic environment.</x:v>
      </x:c>
      <x:c r="E9" s="27" t="str">
        <x:v>1</x:v>
      </x:c>
      <x:c r="F9" s="27" t="str">
        <x:v>S009</x:v>
      </x:c>
      <x:c r="G9" s="27" t="str">
        <x:v>Do not identify threshold effect from raw before-after difference.</x:v>
      </x:c>
      <x:c r="H9" s="27" t="str">
        <x:v>Threshold + recession</x:v>
      </x:c>
    </x:row>
    <x:row r="10">
      <x:c r="A10" s="27" t="str">
        <x:v>2010/11</x:v>
      </x:c>
      <x:c r="B10" s="27" t="str">
        <x:v>Notifications</x:v>
      </x:c>
      <x:c r="C10" s="27" t="str">
        <x:v>190 to 229 (+21%)</x:v>
      </x:c>
      <x:c r="D10" s="27" t="str">
        <x:v>Notifications recovered from immediate post-reset trough.</x:v>
      </x:c>
      <x:c r="E10" s="27" t="str">
        <x:v>1</x:v>
      </x:c>
      <x:c r="F10" s="27" t="str">
        <x:v>S010</x:v>
      </x:c>
      <x:c r="G10" s="27" t="str">
        <x:v>Part of 2009/10 collapse appears cyclical.</x:v>
      </x:c>
      <x:c r="H10" s="27" t="str">
        <x:v>Recovery</x:v>
      </x:c>
    </x:row>
    <x:row r="11">
      <x:c r="A11" s="27" t="str">
        <x:v>2011/12</x:v>
      </x:c>
      <x:c r="B11" s="27" t="str">
        <x:v>Notifications</x:v>
      </x:c>
      <x:c r="C11" s="27" t="str">
        <x:v>229 to 291 (+27%)</x:v>
      </x:c>
      <x:c r="D11" s="27" t="str">
        <x:v>Higher filings were concentrated largely in intermediate mergers.</x:v>
      </x:c>
      <x:c r="E11" s="27" t="str">
        <x:v>5</x:v>
      </x:c>
      <x:c r="F11" s="27" t="str">
        <x:v>S011</x:v>
      </x:c>
      <x:c r="G11" s="27" t="str">
        <x:v>Workload rebuilt within 2009 threshold spell.</x:v>
      </x:c>
      <x:c r="H11" s="27" t="str">
        <x:v>Caseload recovery</x:v>
      </x:c>
    </x:row>
    <x:row r="12">
      <x:c r="A12" s="27" t="str">
        <x:v>2012/13</x:v>
      </x:c>
      <x:c r="B12" s="27" t="str">
        <x:v>Notifications</x:v>
      </x:c>
      <x:c r="C12" s="27" t="str">
        <x:v>291 to 324 (+11%)</x:v>
      </x:c>
      <x:c r="D12" s="27" t="str">
        <x:v>Notification activity continued to increase.</x:v>
      </x:c>
      <x:c r="E12" s="27" t="str">
        <x:v>3</x:v>
      </x:c>
      <x:c r="F12" s="27" t="str">
        <x:v>S012</x:v>
      </x:c>
      <x:c r="G12" s="27" t="str">
        <x:v>Continued rebuilding under fixed nominal thresholds.</x:v>
      </x:c>
      <x:c r="H12" s="27" t="str">
        <x:v>Caseload trend</x:v>
      </x:c>
    </x:row>
    <x:row r="13">
      <x:c r="A13" s="27" t="str">
        <x:v>2013/14</x:v>
      </x:c>
      <x:c r="B13" s="27" t="str">
        <x:v>Notifications</x:v>
      </x:c>
      <x:c r="C13" s="27" t="str">
        <x:v>324 to 320 (-1%)</x:v>
      </x:c>
      <x:c r="D13" s="27" t="str">
        <x:v>Merger activity described as resilient despite difficult economic conditions.</x:v>
      </x:c>
      <x:c r="E13" s="27" t="str">
        <x:v>3</x:v>
      </x:c>
      <x:c r="F13" s="27" t="str">
        <x:v>S013</x:v>
      </x:c>
      <x:c r="G13" s="27" t="str">
        <x:v>Small decline does not indicate threshold effect.</x:v>
      </x:c>
      <x:c r="H13" s="27" t="str">
        <x:v>Economic conditions</x:v>
      </x:c>
    </x:row>
    <x:row r="14">
      <x:c r="A14" s="27" t="str">
        <x:v>2014/15</x:v>
      </x:c>
      <x:c r="B14" s="27" t="str">
        <x:v>Notifications</x:v>
      </x:c>
      <x:c r="C14" s="27" t="str">
        <x:v>320 to 395 (+23%)</x:v>
      </x:c>
      <x:c r="D14" s="27" t="str">
        <x:v>Furniture retail, telecommunications and dairy activity highlighted; Ellerines business rescue generated multiple transactions.</x:v>
      </x:c>
      <x:c r="E14" s="27" t="str">
        <x:v>2</x:v>
      </x:c>
      <x:c r="F14" s="27" t="str">
        <x:v>S014</x:v>
      </x:c>
      <x:c r="G14" s="27" t="str">
        <x:v>Sector shocks matter for workload.</x:v>
      </x:c>
      <x:c r="H14" s="27" t="str">
        <x:v>Sector composition</x:v>
      </x:c>
    </x:row>
    <x:row r="15">
      <x:c r="A15" s="27" t="str">
        <x:v>2015/16</x:v>
      </x:c>
      <x:c r="B15" s="27" t="str">
        <x:v>Notifications</x:v>
      </x:c>
      <x:c r="C15" s="27" t="str">
        <x:v>395 to 391 (-1%)</x:v>
      </x:c>
      <x:c r="D15" s="27" t="str">
        <x:v>Overall activity broadly flat after prior-year sector/business-rescue activity.</x:v>
      </x:c>
      <x:c r="E15" s="27" t="str">
        <x:v>4</x:v>
      </x:c>
      <x:c r="F15" s="27" t="str">
        <x:v>S015</x:v>
      </x:c>
      <x:c r="G15" s="27" t="str">
        <x:v>Stable volume can mask rising complexity.</x:v>
      </x:c>
      <x:c r="H15" s="27" t="str">
        <x:v>Sector / cycle</x:v>
      </x:c>
    </x:row>
    <x:row r="16">
      <x:c r="A16" s="27" t="str">
        <x:v>2016/17</x:v>
      </x:c>
      <x:c r="B16" s="27" t="str">
        <x:v>Notifications</x:v>
      </x:c>
      <x:c r="C16" s="27" t="str">
        <x:v>391 to 418 (+7%)</x:v>
      </x:c>
      <x:c r="D16" s="27" t="str">
        <x:v>Higher caseload accompanied capacity/retention concerns.</x:v>
      </x:c>
      <x:c r="E16" s="27" t="str">
        <x:v>2-4</x:v>
      </x:c>
      <x:c r="F16" s="27" t="str">
        <x:v>S016</x:v>
      </x:c>
      <x:c r="G16" s="27" t="str">
        <x:v>Fixed spell again ended with high caseload.</x:v>
      </x:c>
      <x:c r="H16" s="27" t="str">
        <x:v>Caseload + resources</x:v>
      </x:c>
    </x:row>
    <x:row r="17">
      <x:c r="A17" s="27" t="str">
        <x:v>2020/21</x:v>
      </x:c>
      <x:c r="B17" s="27" t="str">
        <x:v>Notifications</x:v>
      </x:c>
      <x:c r="C17" s="27" t="str">
        <x:v>302 to 242 (-20%)</x:v>
      </x:c>
      <x:c r="D17" s="27" t="str">
        <x:v>Commission links subdued merger activity to Covid-19 economic shock.</x:v>
      </x:c>
      <x:c r="E17" s="27" t="str">
        <x:v>3</x:v>
      </x:c>
      <x:c r="F17" s="27" t="str">
        <x:v>S020</x:v>
      </x:c>
      <x:c r="G17" s="27" t="str">
        <x:v>External shock.</x:v>
      </x:c>
      <x:c r="H17" s="27" t="str">
        <x:v>COVID-19</x:v>
      </x:c>
    </x:row>
    <x:row r="18">
      <x:c r="A18" s="27" t="str">
        <x:v>2022/23</x:v>
      </x:c>
      <x:c r="B18" s="27" t="str">
        <x:v>Notifications</x:v>
      </x:c>
      <x:c r="C18" s="27" t="str">
        <x:v>2018/19→2020/21 -30.5%; 2020/21→2022/23 +12.8%</x:v>
      </x:c>
      <x:c r="D18" s="27" t="str">
        <x:v>Commission attributes 2020/21 trough to global Covid lockdowns and notes moderate recovery.</x:v>
      </x:c>
      <x:c r="E18" s="27" t="str">
        <x:v>4</x:v>
      </x:c>
      <x:c r="F18" s="27" t="str">
        <x:v>S022</x:v>
      </x:c>
      <x:c r="G18" s="27" t="str">
        <x:v>Official pandemic decomposition.</x:v>
      </x:c>
      <x:c r="H18" s="27" t="str">
        <x:v>COVID-19 / recovery</x:v>
      </x:c>
    </x:row>
    <x:row r="19">
      <x:c r="A19" s="27" t="str">
        <x:v>2023/24</x:v>
      </x:c>
      <x:c r="B19" s="27" t="str">
        <x:v>Notifications</x:v>
      </x:c>
      <x:c r="C19" s="27" t="str">
        <x:v>273 to 268 (-2%)</x:v>
      </x:c>
      <x:c r="D19" s="27" t="str">
        <x:v>Slight decline continuing downward trend relative to pre-Covid period.</x:v>
      </x:c>
      <x:c r="E19" s="27" t="str">
        <x:v>4</x:v>
      </x:c>
      <x:c r="F19" s="27" t="str">
        <x:v>S023</x:v>
      </x:c>
      <x:c r="G19" s="27" t="str">
        <x:v>Threshold unchanged since 2017; cycle still matters.</x:v>
      </x:c>
      <x:c r="H19" s="27" t="str">
        <x:v>M&amp;A cycle</x:v>
      </x:c>
    </x:row>
    <x:row r="20">
      <x:c r="A20" s="27" t="str">
        <x:v>2023/24</x:v>
      </x:c>
      <x:c r="B20" s="27" t="str">
        <x:v>Conditional approvals</x:v>
      </x:c>
      <x:c r="C20" s="27" t="str">
        <x:v>26% to ~47% of finalised</x:v>
      </x:c>
      <x:c r="D20" s="27" t="str">
        <x:v>Increase coincides with greater focus on amended public-interest provisions.</x:v>
      </x:c>
      <x:c r="E20" s="27" t="str">
        <x:v>4</x:v>
      </x:c>
      <x:c r="F20" s="27" t="str">
        <x:v>S023</x:v>
      </x:c>
      <x:c r="G20" s="27" t="str">
        <x:v>Workload intensity can rise when filings fall.</x:v>
      </x:c>
      <x:c r="H20" s="27" t="str">
        <x:v>Public-interest reform</x:v>
      </x:c>
    </x:row>
    <x:row r="21">
      <x:c r="A21" s="27" t="str">
        <x:v>2024/25</x:v>
      </x:c>
      <x:c r="B21" s="27" t="str">
        <x:v>Notifications</x:v>
      </x:c>
      <x:c r="C21" s="27" t="str">
        <x:v>268 to 330 (+23%)</x:v>
      </x:c>
      <x:c r="D21" s="27" t="str">
        <x:v>Upward trend described as a positive sign of improved economic activity after 2020/21 slowdown.</x:v>
      </x:c>
      <x:c r="E21" s="27" t="str">
        <x:v>3</x:v>
      </x:c>
      <x:c r="F21" s="27" t="str">
        <x:v>S024</x:v>
      </x:c>
      <x:c r="G21" s="27" t="str">
        <x:v>Strong rebound under unchanged thresholds.</x:v>
      </x:c>
      <x:c r="H21" s="27" t="str">
        <x:v>Economic recovery</x:v>
      </x:c>
    </x:row>
    <x:row r="22">
      <x:c r="A22" s="27" t="str">
        <x:v>2024/25</x:v>
      </x:c>
      <x:c r="B22" s="27" t="str">
        <x:v>Finalised cases</x:v>
      </x:c>
      <x:c r="C22" s="27" t="str">
        <x:v>266 to 330 (+24%)</x:v>
      </x:c>
      <x:c r="D22" s="27" t="str">
        <x:v>330 finalised mergers, highest in recent five-year table.</x:v>
      </x:c>
      <x:c r="E22" s="27" t="str">
        <x:v>3-4</x:v>
      </x:c>
      <x:c r="F22" s="27" t="str">
        <x:v>S024</x:v>
      </x:c>
      <x:c r="G22" s="27" t="str">
        <x:v>Throughput increased alongside filings.</x:v>
      </x:c>
      <x:c r="H22" s="27" t="str">
        <x:v>Throughput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e944639dde143e1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28" hidden="0" customWidth="1"/>
    <x:col min="4" max="4" width="34" hidden="0" customWidth="1"/>
    <x:col min="5" max="5" width="22" hidden="0" customWidth="1"/>
    <x:col min="6" max="6" width="11" hidden="0" customWidth="1"/>
    <x:col min="7" max="7" width="12" hidden="0" customWidth="1"/>
    <x:col min="8" max="8" width="42" hidden="0" customWidth="1"/>
    <x:col min="9" max="9" width="42" hidden="0" customWidth="1"/>
    <x:col min="10" max="10" width="34" hidden="0" customWidth="1"/>
    <x:col min="11" max="11" width="34" hidden="0" customWidth="1"/>
    <x:col min="12" max="12" width="52" hidden="0" customWidth="1"/>
    <x:col min="13" max="13" width="48" hidden="0" customWidth="1"/>
    <x:col min="14" max="14" width="18" hidden="0" customWidth="1"/>
    <x:col min="15" max="15" width="10" hidden="0" customWidth="1"/>
    <x:col min="16" max="16" width="10" hidden="0" customWidth="1"/>
    <x:col min="17" max="17" width="58" hidden="0" customWidth="1"/>
  </x:cols>
  <x:sheetData>
    <x:row r="1" ht="28" customHeight="1">
      <x:c r="A1" s="4" t="str">
        <x:v>Selected Significant Merger Cases from Annual Reports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32" customHeight="1">
      <x:c r="A2" s="11" t="str">
        <x:v>This is a report-highlight database, not a complete case register. It captures cases used to explain enforcement priorities, remedies and public-interest concerns.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</x:row>
    <x:row r="4" ht="30" customHeight="1">
      <x:c r="A4" s="20" t="str">
        <x:v>Financial year</x:v>
      </x:c>
      <x:c r="B4" s="20" t="str">
        <x:v>Case</x:v>
      </x:c>
      <x:c r="C4" s="20" t="str">
        <x:v>Acquirer</x:v>
      </x:c>
      <x:c r="D4" s="20" t="str">
        <x:v>Target</x:v>
      </x:c>
      <x:c r="E4" s="20" t="str">
        <x:v>Sector</x:v>
      </x:c>
      <x:c r="F4" s="20" t="str">
        <x:v>Size</x:v>
      </x:c>
      <x:c r="G4" s="20" t="str">
        <x:v>Phase</x:v>
      </x:c>
      <x:c r="H4" s="20" t="str">
        <x:v>Competition concern</x:v>
      </x:c>
      <x:c r="I4" s="20" t="str">
        <x:v>Public-interest concern</x:v>
      </x:c>
      <x:c r="J4" s="20" t="str">
        <x:v>Commission action</x:v>
      </x:c>
      <x:c r="K4" s="20" t="str">
        <x:v>Known outcome</x:v>
      </x:c>
      <x:c r="L4" s="20" t="str">
        <x:v>Remedy / condition</x:v>
      </x:c>
      <x:c r="M4" s="20" t="str">
        <x:v>Employment / ownership effect</x:v>
      </x:c>
      <x:c r="N4" s="20" t="str">
        <x:v>Transaction value</x:v>
      </x:c>
      <x:c r="O4" s="20" t="str">
        <x:v>Source_ID</x:v>
      </x:c>
      <x:c r="P4" s="20" t="str">
        <x:v>PDF page</x:v>
      </x:c>
      <x:c r="Q4" s="20" t="str">
        <x:v>Why significant</x:v>
      </x:c>
    </x:row>
    <x:row r="5">
      <x:c r="A5" s="27" t="str">
        <x:v>2005/06</x:v>
      </x:c>
      <x:c r="B5" s="27" t="str">
        <x:v>Eyethu Registrars / Ultra Registrars</x:v>
      </x:c>
      <x:c r="C5" s="27" t="str">
        <x:v>Eyethu Registrars</x:v>
      </x:c>
      <x:c r="D5" s="27" t="str">
        <x:v>Ultra Registrars</x:v>
      </x:c>
      <x:c r="E5" s="27" t="str">
        <x:v>Registrar services</x:v>
      </x:c>
      <x:c r="F5" s="27" t="str">
        <x:v>Small</x:v>
      </x:c>
      <x:c r="G5" s="27" t="str">
        <x:v>NR</x:v>
      </x:c>
      <x:c r="H5" s="27" t="str">
        <x:v>Anti-competitive effect</x:v>
      </x:c>
      <x:c r="I5" s="27" t="str">
        <x:v>None highlighted</x:v>
      </x:c>
      <x:c r="J5" s="27" t="str">
        <x:v>Prohibited</x:v>
      </x:c>
      <x:c r="K5" s="27" t="str">
        <x:v>Merger/proceedings later abandoned</x:v>
      </x:c>
      <x:c r="L5" s="27" t="str">
        <x:v>Prohibition</x:v>
      </x:c>
      <x:c r="M5" s="27" t="str">
        <x:v>NR</x:v>
      </x:c>
      <x:c r="N5" s="27" t="str">
        <x:v>NR</x:v>
      </x:c>
      <x:c r="O5" s="27" t="str">
        <x:v>S005</x:v>
      </x:c>
      <x:c r="P5" s="27" t="str">
        <x:v>2</x:v>
      </x:c>
      <x:c r="Q5" s="27" t="str">
        <x:v>Rare small-merger prohibition demonstrates below-threshold significance.</x:v>
      </x:c>
    </x:row>
    <x:row r="6">
      <x:c r="A6" s="27" t="str">
        <x:v>2005/06</x:v>
      </x:c>
      <x:c r="B6" s="27" t="str">
        <x:v>Intelsat Holdings / PanAmSat</x:v>
      </x:c>
      <x:c r="C6" s="27" t="str">
        <x:v>Intelsat Holdings</x:v>
      </x:c>
      <x:c r="D6" s="27" t="str">
        <x:v>PanAmSat Holding Corporation</x:v>
      </x:c>
      <x:c r="E6" s="27" t="str">
        <x:v>Satellite services</x:v>
      </x:c>
      <x:c r="F6" s="27" t="str">
        <x:v>Intermediate</x:v>
      </x:c>
      <x:c r="G6" s="27" t="str">
        <x:v>NR</x:v>
      </x:c>
      <x:c r="H6" s="27" t="str">
        <x:v>Anti-competitive effects</x:v>
      </x:c>
      <x:c r="I6" s="27" t="str">
        <x:v>None highlighted</x:v>
      </x:c>
      <x:c r="J6" s="27" t="str">
        <x:v>Conditionally approved</x:v>
      </x:c>
      <x:c r="K6" s="27" t="str">
        <x:v>Accepted by parties</x:v>
      </x:c>
      <x:c r="L6" s="27" t="str">
        <x:v>Behavioural price condition</x:v>
      </x:c>
      <x:c r="M6" s="27" t="str">
        <x:v>NR</x:v>
      </x:c>
      <x:c r="N6" s="27" t="str">
        <x:v>NR</x:v>
      </x:c>
      <x:c r="O6" s="27" t="str">
        <x:v>S005</x:v>
      </x:c>
      <x:c r="P6" s="27" t="str">
        <x:v>2</x:v>
      </x:c>
      <x:c r="Q6" s="27" t="str">
        <x:v>Illustrates behavioural remedies and price-control conditions.</x:v>
      </x:c>
    </x:row>
    <x:row r="7">
      <x:c r="A7" s="27" t="str">
        <x:v>2005/06</x:v>
      </x:c>
      <x:c r="B7" s="27" t="str">
        <x:v>Tiger Brands / Ashton Canning</x:v>
      </x:c>
      <x:c r="C7" s="27" t="str">
        <x:v>Tiger Brands</x:v>
      </x:c>
      <x:c r="D7" s="27" t="str">
        <x:v>Ashton Canning business</x:v>
      </x:c>
      <x:c r="E7" s="27" t="str">
        <x:v>Food processing</x:v>
      </x:c>
      <x:c r="F7" s="27" t="str">
        <x:v>Large</x:v>
      </x:c>
      <x:c r="G7" s="27" t="str">
        <x:v>NR</x:v>
      </x:c>
      <x:c r="H7" s="27" t="str">
        <x:v>NR</x:v>
      </x:c>
      <x:c r="I7" s="27" t="str">
        <x:v>Employment</x:v>
      </x:c>
      <x:c r="J7" s="27" t="str">
        <x:v>Recommended conditional approval</x:v>
      </x:c>
      <x:c r="K7" s="27" t="str">
        <x:v>Tribunal approved subject to similar conditions</x:v>
      </x:c>
      <x:c r="L7" s="27" t="str">
        <x:v>Employment protection; training fund</x:v>
      </x:c>
      <x:c r="M7" s="27" t="str">
        <x:v>Limit seasonal-worker losses</x:v>
      </x:c>
      <x:c r="N7" s="27" t="str">
        <x:v>NR</x:v>
      </x:c>
      <x:c r="O7" s="27" t="str">
        <x:v>S005</x:v>
      </x:c>
      <x:c r="P7" s="27" t="str">
        <x:v>3</x:v>
      </x:c>
      <x:c r="Q7" s="27" t="str">
        <x:v>Early public-interest employment remedy.</x:v>
      </x:c>
    </x:row>
    <x:row r="8">
      <x:c r="A8" s="27" t="str">
        <x:v>2005/06</x:v>
      </x:c>
      <x:c r="B8" s="27" t="str">
        <x:v>Sasol / Engen</x:v>
      </x:c>
      <x:c r="C8" s="27" t="str">
        <x:v>Sasol</x:v>
      </x:c>
      <x:c r="D8" s="27" t="str">
        <x:v>Engen</x:v>
      </x:c>
      <x:c r="E8" s="27" t="str">
        <x:v>Petroleum</x:v>
      </x:c>
      <x:c r="F8" s="27" t="str">
        <x:v>Large</x:v>
      </x:c>
      <x:c r="G8" s="27" t="str">
        <x:v>NR</x:v>
      </x:c>
      <x:c r="H8" s="27" t="str">
        <x:v>Anti-competitive effects</x:v>
      </x:c>
      <x:c r="I8" s="27" t="str">
        <x:v>NR</x:v>
      </x:c>
      <x:c r="J8" s="27" t="str">
        <x:v>Initially considered conditions; ultimately argued for prohibition</x:v>
      </x:c>
      <x:c r="K8" s="27" t="str">
        <x:v>Tribunal prohibited</x:v>
      </x:c>
      <x:c r="L8" s="27" t="str">
        <x:v>Supply-related conditions considered</x:v>
      </x:c>
      <x:c r="M8" s="27" t="str">
        <x:v>NR</x:v>
      </x:c>
      <x:c r="N8" s="27" t="str">
        <x:v>NR</x:v>
      </x:c>
      <x:c r="O8" s="27" t="str">
        <x:v>S005</x:v>
      </x:c>
      <x:c r="P8" s="27" t="str">
        <x:v>3</x:v>
      </x:c>
      <x:c r="Q8" s="27" t="str">
        <x:v>Shows escalation from contemplated remedy to prohibition.</x:v>
      </x:c>
    </x:row>
    <x:row r="9">
      <x:c r="A9" s="27" t="str">
        <x:v>2006/07</x:v>
      </x:c>
      <x:c r="B9" s="27" t="str">
        <x:v>Telkom / Business Connexion</x:v>
      </x:c>
      <x:c r="C9" s="27" t="str">
        <x:v>Telkom</x:v>
      </x:c>
      <x:c r="D9" s="27" t="str">
        <x:v>Business Connexion</x:v>
      </x:c>
      <x:c r="E9" s="27" t="str">
        <x:v>Telecommunications</x:v>
      </x:c>
      <x:c r="F9" s="27" t="str">
        <x:v>Large</x:v>
      </x:c>
      <x:c r="G9" s="27" t="str">
        <x:v>NR</x:v>
      </x:c>
      <x:c r="H9" s="27" t="str">
        <x:v>Competition concerns</x:v>
      </x:c>
      <x:c r="I9" s="27" t="str">
        <x:v>NR</x:v>
      </x:c>
      <x:c r="J9" s="27" t="str">
        <x:v>Recommended prohibition</x:v>
      </x:c>
      <x:c r="K9" s="27" t="str">
        <x:v>Tribunal prohibited</x:v>
      </x:c>
      <x:c r="L9" s="27" t="str">
        <x:v>NR</x:v>
      </x:c>
      <x:c r="M9" s="27" t="str">
        <x:v>NR</x:v>
      </x:c>
      <x:c r="N9" s="27" t="str">
        <x:v>NR</x:v>
      </x:c>
      <x:c r="O9" s="27" t="str">
        <x:v>S006</x:v>
      </x:c>
      <x:c r="P9" s="27" t="str">
        <x:v>2</x:v>
      </x:c>
      <x:c r="Q9" s="27" t="str">
        <x:v>Large telecom/technology prohibition.</x:v>
      </x:c>
    </x:row>
    <x:row r="10">
      <x:c r="A10" s="27" t="str">
        <x:v>2006/07</x:v>
      </x:c>
      <x:c r="B10" s="27" t="str">
        <x:v>Pick n Pay / Fruit &amp; Veg City</x:v>
      </x:c>
      <x:c r="C10" s="27" t="str">
        <x:v>Pick n Pay</x:v>
      </x:c>
      <x:c r="D10" s="27" t="str">
        <x:v>Fruit &amp; Veg City Holdings</x:v>
      </x:c>
      <x:c r="E10" s="27" t="str">
        <x:v>Retail grocery</x:v>
      </x:c>
      <x:c r="F10" s="27" t="str">
        <x:v>Large</x:v>
      </x:c>
      <x:c r="G10" s="27" t="str">
        <x:v>NR</x:v>
      </x:c>
      <x:c r="H10" s="27" t="str">
        <x:v>Competition concerns</x:v>
      </x:c>
      <x:c r="I10" s="27" t="str">
        <x:v>NR</x:v>
      </x:c>
      <x:c r="J10" s="27" t="str">
        <x:v>Recommended prohibition</x:v>
      </x:c>
      <x:c r="K10" s="27" t="str">
        <x:v>Transaction abandoned after referral</x:v>
      </x:c>
      <x:c r="L10" s="27" t="str">
        <x:v>NR</x:v>
      </x:c>
      <x:c r="M10" s="27" t="str">
        <x:v>NR</x:v>
      </x:c>
      <x:c r="N10" s="27" t="str">
        <x:v>NR</x:v>
      </x:c>
      <x:c r="O10" s="27" t="str">
        <x:v>S006</x:v>
      </x:c>
      <x:c r="P10" s="27" t="str">
        <x:v>2</x:v>
      </x:c>
      <x:c r="Q10" s="27" t="str">
        <x:v>Commission recommendation need not equal implemented outcome.</x:v>
      </x:c>
    </x:row>
    <x:row r="11">
      <x:c r="A11" s="27" t="str">
        <x:v>2006/07</x:v>
      </x:c>
      <x:c r="B11" s="27" t="str">
        <x:v>Primedia / Nail</x:v>
      </x:c>
      <x:c r="C11" s="27" t="str">
        <x:v>Primedia</x:v>
      </x:c>
      <x:c r="D11" s="27" t="str">
        <x:v>New Africa Investments Limited</x:v>
      </x:c>
      <x:c r="E11" s="27" t="str">
        <x:v>Radio</x:v>
      </x:c>
      <x:c r="F11" s="27" t="str">
        <x:v>Intermediate</x:v>
      </x:c>
      <x:c r="G11" s="27" t="str">
        <x:v>NR</x:v>
      </x:c>
      <x:c r="H11" s="27" t="str">
        <x:v>Potential coordination</x:v>
      </x:c>
      <x:c r="I11" s="27" t="str">
        <x:v>NR</x:v>
      </x:c>
      <x:c r="J11" s="27" t="str">
        <x:v>Conditionally approved</x:v>
      </x:c>
      <x:c r="K11" s="27" t="str">
        <x:v>Tribunal later approved without conditions</x:v>
      </x:c>
      <x:c r="L11" s="27" t="str">
        <x:v>Behavioural/control-related condition</x:v>
      </x:c>
      <x:c r="M11" s="27" t="str">
        <x:v>NR</x:v>
      </x:c>
      <x:c r="N11" s="27" t="str">
        <x:v>NR</x:v>
      </x:c>
      <x:c r="O11" s="27" t="str">
        <x:v>S006</x:v>
      </x:c>
      <x:c r="P11" s="27" t="str">
        <x:v>2</x:v>
      </x:c>
      <x:c r="Q11" s="27" t="str">
        <x:v>Tribunal reconsideration changed remedy outcome.</x:v>
      </x:c>
    </x:row>
    <x:row r="12">
      <x:c r="A12" s="27" t="str">
        <x:v>2008/09</x:v>
      </x:c>
      <x:c r="B12" s="27" t="str">
        <x:v>Cape Gate Holdings / Universal Recycling</x:v>
      </x:c>
      <x:c r="C12" s="27" t="str">
        <x:v>Cape Gate Holdings</x:v>
      </x:c>
      <x:c r="D12" s="27" t="str">
        <x:v>Universal Recycling Company</x:v>
      </x:c>
      <x:c r="E12" s="27" t="str">
        <x:v>Recycling / metals</x:v>
      </x:c>
      <x:c r="F12" s="27" t="str">
        <x:v>NR</x:v>
      </x:c>
      <x:c r="G12" s="27" t="str">
        <x:v>NR</x:v>
      </x:c>
      <x:c r="H12" s="27" t="str">
        <x:v>Coordinated effects</x:v>
      </x:c>
      <x:c r="I12" s="27" t="str">
        <x:v>NR</x:v>
      </x:c>
      <x:c r="J12" s="27" t="str">
        <x:v>Recommended prohibition</x:v>
      </x:c>
      <x:c r="K12" s="27" t="str">
        <x:v>Tribunal prohibited</x:v>
      </x:c>
      <x:c r="L12" s="27" t="str">
        <x:v>NR</x:v>
      </x:c>
      <x:c r="M12" s="27" t="str">
        <x:v>NR</x:v>
      </x:c>
      <x:c r="N12" s="27" t="str">
        <x:v>NR</x:v>
      </x:c>
      <x:c r="O12" s="27" t="str">
        <x:v>S008</x:v>
      </x:c>
      <x:c r="P12" s="27" t="str">
        <x:v>2</x:v>
      </x:c>
      <x:c r="Q12" s="27" t="str">
        <x:v>Problematic merger intervention.</x:v>
      </x:c>
    </x:row>
    <x:row r="13">
      <x:c r="A13" s="27" t="str">
        <x:v>2008/09</x:v>
      </x:c>
      <x:c r="B13" s="27" t="str">
        <x:v>Aveng Africa / reinforcing businesses</x:v>
      </x:c>
      <x:c r="C13" s="27" t="str">
        <x:v>Aveng Africa</x:v>
      </x:c>
      <x:c r="D13" s="27" t="str">
        <x:v>Reinforcing businesses</x:v>
      </x:c>
      <x:c r="E13" s="27" t="str">
        <x:v>Construction materials</x:v>
      </x:c>
      <x:c r="F13" s="27" t="str">
        <x:v>NR</x:v>
      </x:c>
      <x:c r="G13" s="27" t="str">
        <x:v>NR</x:v>
      </x:c>
      <x:c r="H13" s="27" t="str">
        <x:v>Coordinated effects</x:v>
      </x:c>
      <x:c r="I13" s="27" t="str">
        <x:v>NR</x:v>
      </x:c>
      <x:c r="J13" s="27" t="str">
        <x:v>Recommended prohibition</x:v>
      </x:c>
      <x:c r="K13" s="27" t="str">
        <x:v>Parties withdrew before Tribunal hearing</x:v>
      </x:c>
      <x:c r="L13" s="27" t="str">
        <x:v>NR</x:v>
      </x:c>
      <x:c r="M13" s="27" t="str">
        <x:v>NR</x:v>
      </x:c>
      <x:c r="N13" s="27" t="str">
        <x:v>NR</x:v>
      </x:c>
      <x:c r="O13" s="27" t="str">
        <x:v>S008</x:v>
      </x:c>
      <x:c r="P13" s="27" t="str">
        <x:v>2</x:v>
      </x:c>
      <x:c r="Q13" s="27" t="str">
        <x:v>Withdrawal after adverse recommendation.</x:v>
      </x:c>
    </x:row>
    <x:row r="14">
      <x:c r="A14" s="27" t="str">
        <x:v>2016/17</x:v>
      </x:c>
      <x:c r="B14" s="27" t="str">
        <x:v>AB InBev / SABMiller</x:v>
      </x:c>
      <x:c r="C14" s="27" t="str">
        <x:v>AB InBev</x:v>
      </x:c>
      <x:c r="D14" s="27" t="str">
        <x:v>SABMiller</x:v>
      </x:c>
      <x:c r="E14" s="27" t="str">
        <x:v>Beverages</x:v>
      </x:c>
      <x:c r="F14" s="27" t="str">
        <x:v>Large</x:v>
      </x:c>
      <x:c r="G14" s="27" t="str">
        <x:v>Phase 3</x:v>
      </x:c>
      <x:c r="H14" s="27" t="str">
        <x:v>Competition and structure issues</x:v>
      </x:c>
      <x:c r="I14" s="27" t="str">
        <x:v>Employment / industrial policy / ownership</x:v>
      </x:c>
      <x:c r="J14" s="27" t="str">
        <x:v>Conditional approval/recommendation</x:v>
      </x:c>
      <x:c r="K14" s="27" t="str">
        <x:v>Approved with extensive conditions</x:v>
      </x:c>
      <x:c r="L14" s="27" t="str">
        <x:v>Multi-dimensional competition and PI conditions</x:v>
      </x:c>
      <x:c r="M14" s="27" t="str">
        <x:v>Significant PI commitments</x:v>
      </x:c>
      <x:c r="N14" s="27" t="str">
        <x:v>NR</x:v>
      </x:c>
      <x:c r="O14" s="27" t="str">
        <x:v>S016</x:v>
      </x:c>
      <x:c r="P14" s="27" t="str">
        <x:v>UC</x:v>
      </x:c>
      <x:c r="Q14" s="27" t="str">
        <x:v>Major merger illustrating combined competition/public-interest workload.</x:v>
      </x:c>
    </x:row>
    <x:row r="15">
      <x:c r="A15" s="27" t="str">
        <x:v>2017/18</x:v>
      </x:c>
      <x:c r="B15" s="27" t="str">
        <x:v>Mediclinic / Matlosana Medical Health Services</x:v>
      </x:c>
      <x:c r="C15" s="27" t="str">
        <x:v>Mediclinic</x:v>
      </x:c>
      <x:c r="D15" s="27" t="str">
        <x:v>Matlosana Medical Health Services</x:v>
      </x:c>
      <x:c r="E15" s="27" t="str">
        <x:v>Private healthcare</x:v>
      </x:c>
      <x:c r="F15" s="27" t="str">
        <x:v>Large</x:v>
      </x:c>
      <x:c r="G15" s="27" t="str">
        <x:v>NR</x:v>
      </x:c>
      <x:c r="H15" s="27" t="str">
        <x:v>Competition concerns</x:v>
      </x:c>
      <x:c r="I15" s="27" t="str">
        <x:v>NR</x:v>
      </x:c>
      <x:c r="J15" s="27" t="str">
        <x:v>Recommended prohibition / contested</x:v>
      </x:c>
      <x:c r="K15" s="27" t="str">
        <x:v>Prohibition-related litigation followed</x:v>
      </x:c>
      <x:c r="L15" s="27" t="str">
        <x:v>NR</x:v>
      </x:c>
      <x:c r="M15" s="27" t="str">
        <x:v>NR</x:v>
      </x:c>
      <x:c r="N15" s="27" t="str">
        <x:v>NR</x:v>
      </x:c>
      <x:c r="O15" s="27" t="str">
        <x:v>S017</x:v>
      </x:c>
      <x:c r="P15" s="27" t="str">
        <x:v>UC</x:v>
      </x:c>
      <x:c r="Q15" s="27" t="str">
        <x:v>Complex healthcare review.</x:v>
      </x:c>
    </x:row>
    <x:row r="16">
      <x:c r="A16" s="27" t="str">
        <x:v>2018/19</x:v>
      </x:c>
      <x:c r="B16" s="27" t="str">
        <x:v>Sibanye-Stillwater / Lonmin</x:v>
      </x:c>
      <x:c r="C16" s="27" t="str">
        <x:v>Sibanye-Stillwater</x:v>
      </x:c>
      <x:c r="D16" s="27" t="str">
        <x:v>Lonmin</x:v>
      </x:c>
      <x:c r="E16" s="27" t="str">
        <x:v>Mining</x:v>
      </x:c>
      <x:c r="F16" s="27" t="str">
        <x:v>Large</x:v>
      </x:c>
      <x:c r="G16" s="27" t="str">
        <x:v>NR</x:v>
      </x:c>
      <x:c r="H16" s="27" t="str">
        <x:v>Competition / concentration</x:v>
      </x:c>
      <x:c r="I16" s="27" t="str">
        <x:v>Employment</x:v>
      </x:c>
      <x:c r="J16" s="27" t="str">
        <x:v>Conditionally approved</x:v>
      </x:c>
      <x:c r="K16" s="27" t="str">
        <x:v>Approved with conditions</x:v>
      </x:c>
      <x:c r="L16" s="27" t="str">
        <x:v>Employment/public-interest conditions</x:v>
      </x:c>
      <x:c r="M16" s="27" t="str">
        <x:v>Employment protections</x:v>
      </x:c>
      <x:c r="N16" s="27" t="str">
        <x:v>NR</x:v>
      </x:c>
      <x:c r="O16" s="27" t="str">
        <x:v>S018</x:v>
      </x:c>
      <x:c r="P16" s="27" t="str">
        <x:v>UC</x:v>
      </x:c>
      <x:c r="Q16" s="27" t="str">
        <x:v>Large mining transaction with public-interest scrutiny.</x:v>
      </x:c>
    </x:row>
    <x:row r="17">
      <x:c r="A17" s="27" t="str">
        <x:v>2021/22</x:v>
      </x:c>
      <x:c r="B17" s="27" t="str">
        <x:v>DP World Logistics / Imperial Logistics</x:v>
      </x:c>
      <x:c r="C17" s="27" t="str">
        <x:v>DP World Logistics FZE</x:v>
      </x:c>
      <x:c r="D17" s="27" t="str">
        <x:v>Imperial Logistics Limited</x:v>
      </x:c>
      <x:c r="E17" s="27" t="str">
        <x:v>Logistics</x:v>
      </x:c>
      <x:c r="F17" s="27" t="str">
        <x:v>Large</x:v>
      </x:c>
      <x:c r="G17" s="27" t="str">
        <x:v>NR</x:v>
      </x:c>
      <x:c r="H17" s="27" t="str">
        <x:v>NR</x:v>
      </x:c>
      <x:c r="I17" s="27" t="str">
        <x:v>Enterprise/supplier development; training; worker ownership</x:v>
      </x:c>
      <x:c r="J17" s="27" t="str">
        <x:v>Conditionally approved</x:v>
      </x:c>
      <x:c r="K17" s="27" t="str">
        <x:v>Approved with conditions</x:v>
      </x:c>
      <x:c r="L17" s="27" t="str">
        <x:v>ESOP; development; CSR/training commitments</x:v>
      </x:c>
      <x:c r="M17" s="27" t="str">
        <x:v>5% effective employee interest</x:v>
      </x:c>
      <x:c r="N17" s="27" t="str">
        <x:v>NR</x:v>
      </x:c>
      <x:c r="O17" s="27" t="str">
        <x:v>S021</x:v>
      </x:c>
      <x:c r="P17" s="27" t="str">
        <x:v>7</x:v>
      </x:c>
      <x:c r="Q17" s="27" t="str">
        <x:v>Transformation and supplier-development conditions.</x:v>
      </x:c>
    </x:row>
    <x:row r="18">
      <x:c r="A18" s="27" t="str">
        <x:v>2021/22</x:v>
      </x:c>
      <x:c r="B18" s="27" t="str">
        <x:v>IHS Holding / MTN tower assets</x:v>
      </x:c>
      <x:c r="C18" s="27" t="str">
        <x:v>IHS Holding Limited</x:v>
      </x:c>
      <x:c r="D18" s="27" t="str">
        <x:v>MTN passive tower infrastructure assets</x:v>
      </x:c>
      <x:c r="E18" s="27" t="str">
        <x:v>Telecommunications</x:v>
      </x:c>
      <x:c r="F18" s="27" t="str">
        <x:v>Large</x:v>
      </x:c>
      <x:c r="G18" s="27" t="str">
        <x:v>NR</x:v>
      </x:c>
      <x:c r="H18" s="27" t="str">
        <x:v>Site access / vertical issues</x:v>
      </x:c>
      <x:c r="I18" s="27" t="str">
        <x:v>Employment; B-BBEE; SME/HDP procurement</x:v>
      </x:c>
      <x:c r="J18" s="27" t="str">
        <x:v>Conditionally approved</x:v>
      </x:c>
      <x:c r="K18" s="27" t="str">
        <x:v>Approved with conditions</x:v>
      </x:c>
      <x:c r="L18" s="27" t="str">
        <x:v>10-year procurement; supplier development; site access; B-BBEE</x:v>
      </x:c>
      <x:c r="M18" s="27" t="str">
        <x:v>R60m/year supplier development escalated by CPI</x:v>
      </x:c>
      <x:c r="N18" s="27" t="str">
        <x:v>NR</x:v>
      </x:c>
      <x:c r="O18" s="27" t="str">
        <x:v>S021</x:v>
      </x:c>
      <x:c r="P18" s="27" t="str">
        <x:v>9</x:v>
      </x:c>
      <x:c r="Q18" s="27" t="str">
        <x:v>Long-duration conditions illustrate monitoring burden.</x:v>
      </x:c>
    </x:row>
    <x:row r="19">
      <x:c r="A19" s="27" t="str">
        <x:v>2021/22</x:v>
      </x:c>
      <x:c r="B19" s="27" t="str">
        <x:v>Net1 / Ovibix &amp; Luxanio</x:v>
      </x:c>
      <x:c r="C19" s="27" t="str">
        <x:v>Net1 Applied Technologies SA</x:v>
      </x:c>
      <x:c r="D19" s="27" t="str">
        <x:v>Ovibix and Luxanio 227</x:v>
      </x:c>
      <x:c r="E19" s="27" t="str">
        <x:v>Payments / airtime</x:v>
      </x:c>
      <x:c r="F19" s="27" t="str">
        <x:v>NR</x:v>
      </x:c>
      <x:c r="G19" s="27" t="str">
        <x:v>NR</x:v>
      </x:c>
      <x:c r="H19" s="27" t="str">
        <x:v>NR</x:v>
      </x:c>
      <x:c r="I19" s="27" t="str">
        <x:v>Employment; ESOP; development</x:v>
      </x:c>
      <x:c r="J19" s="27" t="str">
        <x:v>Conditionally approved</x:v>
      </x:c>
      <x:c r="K19" s="27" t="str">
        <x:v>Approved with conditions</x:v>
      </x:c>
      <x:c r="L19" s="27" t="str">
        <x:v>ESOP; R12m development contribution; preferential re-employment</x:v>
      </x:c>
      <x:c r="M19" s="27" t="str">
        <x:v>Employee ownership and development</x:v>
      </x:c>
      <x:c r="N19" s="27" t="str">
        <x:v>NR</x:v>
      </x:c>
      <x:c r="O19" s="27" t="str">
        <x:v>S021</x:v>
      </x:c>
      <x:c r="P19" s="27" t="str">
        <x:v>8</x:v>
      </x:c>
      <x:c r="Q19" s="27" t="str">
        <x:v>Ownership, jobs and development combined.</x:v>
      </x:c>
    </x:row>
    <x:row r="20">
      <x:c r="A20" s="27" t="str">
        <x:v>2022/23</x:v>
      </x:c>
      <x:c r="B20" s="27" t="str">
        <x:v>Shoprite / Massmart transaction</x:v>
      </x:c>
      <x:c r="C20" s="27" t="str">
        <x:v>Shoprite</x:v>
      </x:c>
      <x:c r="D20" s="27" t="str">
        <x:v>Selected Massmart assets/businesses</x:v>
      </x:c>
      <x:c r="E20" s="27" t="str">
        <x:v>Retail</x:v>
      </x:c>
      <x:c r="F20" s="27" t="str">
        <x:v>Large</x:v>
      </x:c>
      <x:c r="G20" s="27" t="str">
        <x:v>NR</x:v>
      </x:c>
      <x:c r="H20" s="27" t="str">
        <x:v>NR</x:v>
      </x:c>
      <x:c r="I20" s="27" t="str">
        <x:v>Worker/HDP ownership</x:v>
      </x:c>
      <x:c r="J20" s="27" t="str">
        <x:v>Conditionally approved</x:v>
      </x:c>
      <x:c r="K20" s="27" t="str">
        <x:v>Approved with conditions</x:v>
      </x:c>
      <x:c r="L20" s="27" t="str">
        <x:v>ESOP/ownership conditions</x:v>
      </x:c>
      <x:c r="M20" s="27" t="str">
        <x:v>One of three large cases driving ~70% of ESOP value</x:v>
      </x:c>
      <x:c r="N20" s="27" t="str">
        <x:v>NR</x:v>
      </x:c>
      <x:c r="O20" s="27" t="str">
        <x:v>S022</x:v>
      </x:c>
      <x:c r="P20" s="27" t="str">
        <x:v>6</x:v>
      </x:c>
      <x:c r="Q20" s="27" t="str">
        <x:v>Material contributor to R22.9bn estimated ESOP value.</x:v>
      </x:c>
    </x:row>
    <x:row r="21">
      <x:c r="A21" s="27" t="str">
        <x:v>2022/23</x:v>
      </x:c>
      <x:c r="B21" s="27" t="str">
        <x:v>Heineken / Distell</x:v>
      </x:c>
      <x:c r="C21" s="27" t="str">
        <x:v>Heineken</x:v>
      </x:c>
      <x:c r="D21" s="27" t="str">
        <x:v>Distell</x:v>
      </x:c>
      <x:c r="E21" s="27" t="str">
        <x:v>Beverages</x:v>
      </x:c>
      <x:c r="F21" s="27" t="str">
        <x:v>Large</x:v>
      </x:c>
      <x:c r="G21" s="27" t="str">
        <x:v>NR</x:v>
      </x:c>
      <x:c r="H21" s="27" t="str">
        <x:v>NR</x:v>
      </x:c>
      <x:c r="I21" s="27" t="str">
        <x:v>Worker/HDP ownership; public interest</x:v>
      </x:c>
      <x:c r="J21" s="27" t="str">
        <x:v>Conditionally approved</x:v>
      </x:c>
      <x:c r="K21" s="27" t="str">
        <x:v>Approved with conditions</x:v>
      </x:c>
      <x:c r="L21" s="27" t="str">
        <x:v>Ownership/public-interest conditions</x:v>
      </x:c>
      <x:c r="M21" s="27" t="str">
        <x:v>Large contributor to ESOP value</x:v>
      </x:c>
      <x:c r="N21" s="27" t="str">
        <x:v>NR</x:v>
      </x:c>
      <x:c r="O21" s="27" t="str">
        <x:v>S022</x:v>
      </x:c>
      <x:c r="P21" s="27" t="str">
        <x:v>6</x:v>
      </x:c>
      <x:c r="Q21" s="27" t="str">
        <x:v>One of the large-value ownership cases.</x:v>
      </x:c>
    </x:row>
    <x:row r="22">
      <x:c r="A22" s="27" t="str">
        <x:v>2024/25</x:v>
      </x:c>
      <x:c r="B22" s="27" t="str">
        <x:v>Vodacom / Maziv</x:v>
      </x:c>
      <x:c r="C22" s="27" t="str">
        <x:v>Vodacom</x:v>
      </x:c>
      <x:c r="D22" s="27" t="str">
        <x:v>Maziv</x:v>
      </x:c>
      <x:c r="E22" s="27" t="str">
        <x:v>Telecommunications</x:v>
      </x:c>
      <x:c r="F22" s="27" t="str">
        <x:v>Large</x:v>
      </x:c>
      <x:c r="G22" s="27" t="str">
        <x:v>Phase 3</x:v>
      </x:c>
      <x:c r="H22" s="27" t="str">
        <x:v>Vertical foreclosure / fibre competition</x:v>
      </x:c>
      <x:c r="I22" s="27" t="str">
        <x:v>Public-interest commitments also relevant</x:v>
      </x:c>
      <x:c r="J22" s="27" t="str">
        <x:v>Recommended prohibition</x:v>
      </x:c>
      <x:c r="K22" s="27" t="str">
        <x:v>Tribunal prohibited; appeals noted 26 Nov 2024</x:v>
      </x:c>
      <x:c r="L22" s="27" t="str">
        <x:v>NR</x:v>
      </x:c>
      <x:c r="M22" s="27" t="str">
        <x:v>NR</x:v>
      </x:c>
      <x:c r="N22" s="27" t="str">
        <x:v>NR</x:v>
      </x:c>
      <x:c r="O22" s="27" t="str">
        <x:v>S024</x:v>
      </x:c>
      <x:c r="P22" s="27" t="str">
        <x:v>2-3</x:v>
      </x:c>
      <x:c r="Q22" s="27" t="str">
        <x:v>High-profile digital infrastructure merger.</x:v>
      </x:c>
    </x:row>
    <x:row r="23">
      <x:c r="A23" s="27" t="str">
        <x:v>2024/25</x:v>
      </x:c>
      <x:c r="B23" s="27" t="str">
        <x:v>Vumatel / DFA / Herotel infrastructure matters</x:v>
      </x:c>
      <x:c r="C23" s="27" t="str">
        <x:v>Infrastructure investors / operators</x:v>
      </x:c>
      <x:c r="D23" s="27" t="str">
        <x:v>Fibre network assets</x:v>
      </x:c>
      <x:c r="E23" s="27" t="str">
        <x:v>Telecommunications</x:v>
      </x:c>
      <x:c r="F23" s="27" t="str">
        <x:v>Large</x:v>
      </x:c>
      <x:c r="G23" s="27" t="str">
        <x:v>Phase 3</x:v>
      </x:c>
      <x:c r="H23" s="27" t="str">
        <x:v>Vertical foreclosure / open access</x:v>
      </x:c>
      <x:c r="I23" s="27" t="str">
        <x:v>Low-income connectivity</x:v>
      </x:c>
      <x:c r="J23" s="27" t="str">
        <x:v>Conditional remedy design</x:v>
      </x:c>
      <x:c r="K23" s="27" t="str">
        <x:v>Approved/managed subject to conditions</x:v>
      </x:c>
      <x:c r="L23" s="27" t="str">
        <x:v>Open-access and low-income FTTH-related commitments</x:v>
      </x:c>
      <x:c r="M23" s="27" t="str">
        <x:v>Connectivity/public-interest benefits</x:v>
      </x:c>
      <x:c r="N23" s="27" t="str">
        <x:v>NR</x:v>
      </x:c>
      <x:c r="O23" s="27" t="str">
        <x:v>S024</x:v>
      </x:c>
      <x:c r="P23" s="27" t="str">
        <x:v>UC</x:v>
      </x:c>
      <x:c r="Q23" s="27" t="str">
        <x:v>Complex digital infrastructure remedy design.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f46395d149df4a21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6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7" hidden="0" customWidth="1"/>
    <x:col min="9" max="9" width="14" hidden="0" customWidth="1"/>
    <x:col min="10" max="10" width="18" hidden="0" customWidth="1"/>
    <x:col min="11" max="11" width="10" hidden="0" customWidth="1"/>
    <x:col min="12" max="12" width="62" hidden="0" customWidth="1"/>
  </x:cols>
  <x:sheetData>
    <x:row r="1" ht="28" customHeight="1">
      <x:c r="A1" s="4" t="str">
        <x:v>Legislative and Institutional Changes Affecting Comparability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1" t="str">
        <x:v>Structural-break flags mark years in which thresholds, classifications, filing costs or substantive public-interest/small-merger rules materially changed.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 ht="30" customHeight="1">
      <x:c r="A4" s="20" t="str">
        <x:v>Effective period / FY</x:v>
      </x:c>
      <x:c r="B4" s="20" t="str">
        <x:v>Change type</x:v>
      </x:c>
      <x:c r="C4" s="20" t="str">
        <x:v>Description</x:v>
      </x:c>
      <x:c r="D4" s="20" t="str">
        <x:v>Intermediate combined threshold</x:v>
      </x:c>
      <x:c r="E4" s="20" t="str">
        <x:v>Intermediate target threshold</x:v>
      </x:c>
      <x:c r="F4" s="20" t="str">
        <x:v>Large combined threshold</x:v>
      </x:c>
      <x:c r="G4" s="20" t="str">
        <x:v>Large target threshold</x:v>
      </x:c>
      <x:c r="H4" s="20" t="str">
        <x:v>Intermediate filing fee</x:v>
      </x:c>
      <x:c r="I4" s="20" t="str">
        <x:v>Large filing fee</x:v>
      </x:c>
      <x:c r="J4" s="20" t="str">
        <x:v>Structural Break Flag</x:v>
      </x:c>
      <x:c r="K4" s="20" t="str">
        <x:v>Source_ID</x:v>
      </x:c>
      <x:c r="L4" s="20" t="str">
        <x:v>Research implication</x:v>
      </x:c>
    </x:row>
    <x:row r="5">
      <x:c r="A5" s="27" t="str">
        <x:v>1999/00</x:v>
      </x:c>
      <x:c r="B5" s="27" t="str">
        <x:v>Transitional merger regime</x:v>
      </x:c>
      <x:c r="C5" s="27" t="str">
        <x:v>Early reporting used a transitional merger category.</x:v>
      </x:c>
      <x:c r="D5" s="27" t="str">
        <x:v>ND</x:v>
      </x:c>
      <x:c r="E5" s="27" t="str">
        <x:v>ND</x:v>
      </x:c>
      <x:c r="F5" s="27" t="str">
        <x:v>ND</x:v>
      </x:c>
      <x:c r="G5" s="27" t="str">
        <x:v>ND</x:v>
      </x:c>
      <x:c r="H5" s="27" t="str">
        <x:v>ND</x:v>
      </x:c>
      <x:c r="I5" s="27" t="str">
        <x:v>ND</x:v>
      </x:c>
      <x:c r="J5" s="27" t="n">
        <x:v>1</x:v>
      </x:c>
      <x:c r="K5" s="27" t="str">
        <x:v>S001</x:v>
      </x:c>
      <x:c r="L5" s="27" t="str">
        <x:v>Exclude from clean later size-share comparisons.</x:v>
      </x:c>
    </x:row>
    <x:row r="6">
      <x:c r="A6" s="27" t="str">
        <x:v>1 Feb 2001 / 2000/01</x:v>
      </x:c>
      <x:c r="B6" s="27" t="str">
        <x:v>Classification change</x:v>
      </x:c>
      <x:c r="C6" s="27" t="str">
        <x:v>Small merger category came into effect with amended Competition Act.</x:v>
      </x:c>
      <x:c r="D6" s="27" t="str">
        <x:v>UC</x:v>
      </x:c>
      <x:c r="E6" s="27" t="str">
        <x:v>UC</x:v>
      </x:c>
      <x:c r="F6" s="27" t="str">
        <x:v>UC</x:v>
      </x:c>
      <x:c r="G6" s="27" t="str">
        <x:v>UC</x:v>
      </x:c>
      <x:c r="H6" s="27" t="str">
        <x:v>UC</x:v>
      </x:c>
      <x:c r="I6" s="27" t="str">
        <x:v>UC</x:v>
      </x:c>
      <x:c r="J6" s="27" t="n">
        <x:v>1</x:v>
      </x:c>
      <x:c r="K6" s="27" t="str">
        <x:v>S001</x:v>
      </x:c>
      <x:c r="L6" s="27" t="str">
        <x:v>Small-merger count is a part-year observation.</x:v>
      </x:c>
    </x:row>
    <x:row r="7">
      <x:c r="A7" s="27" t="str">
        <x:v>2001/02</x:v>
      </x:c>
      <x:c r="B7" s="27" t="str">
        <x:v>Threshold regime</x:v>
      </x:c>
      <x:c r="C7" s="27" t="str">
        <x:v>First full FY under 2001 threshold regime.</x:v>
      </x:c>
      <x:c r="D7" s="27" t="str">
        <x:v>R200m</x:v>
      </x:c>
      <x:c r="E7" s="27" t="str">
        <x:v>R30m</x:v>
      </x:c>
      <x:c r="F7" s="27" t="str">
        <x:v>R3.5bn</x:v>
      </x:c>
      <x:c r="G7" s="27" t="str">
        <x:v>R100m</x:v>
      </x:c>
      <x:c r="H7" s="27" t="str">
        <x:v>UC</x:v>
      </x:c>
      <x:c r="I7" s="27" t="str">
        <x:v>UC</x:v>
      </x:c>
      <x:c r="J7" s="27" t="n">
        <x:v>1</x:v>
      </x:c>
      <x:c r="K7" s="27" t="str">
        <x:v>S007</x:v>
      </x:c>
      <x:c r="L7" s="27" t="str">
        <x:v>Baseline spell for threshold-erosion analysis.</x:v>
      </x:c>
    </x:row>
    <x:row r="8">
      <x:c r="A8" s="27" t="str">
        <x:v>Feb 2008 review</x:v>
      </x:c>
      <x:c r="B8" s="27" t="str">
        <x:v>Threshold review</x:v>
      </x:c>
      <x:c r="C8" s="27" t="str">
        <x:v>Commission motivated increases because fixed nominal thresholds widened the notification net and burdened resources.</x:v>
      </x:c>
      <x:c r="D8" s="27" t="str">
        <x:v>R200m</x:v>
      </x:c>
      <x:c r="E8" s="27" t="str">
        <x:v>R30m</x:v>
      </x:c>
      <x:c r="F8" s="27" t="str">
        <x:v>R3.5bn</x:v>
      </x:c>
      <x:c r="G8" s="27" t="str">
        <x:v>R100m</x:v>
      </x:c>
      <x:c r="H8" s="27" t="str">
        <x:v>UC</x:v>
      </x:c>
      <x:c r="I8" s="27" t="str">
        <x:v>UC</x:v>
      </x:c>
      <x:c r="J8" s="27" t="n">
        <x:v>1</x:v>
      </x:c>
      <x:c r="K8" s="27" t="str">
        <x:v>S007</x:v>
      </x:c>
      <x:c r="L8" s="27" t="str">
        <x:v>Institutional rationale for recalibration.</x:v>
      </x:c>
    </x:row>
    <x:row r="9">
      <x:c r="A9" s="27" t="str">
        <x:v>1 Apr 2009 / 2009/10</x:v>
      </x:c>
      <x:c r="B9" s="27" t="str">
        <x:v>Threshold increase</x:v>
      </x:c>
      <x:c r="C9" s="27" t="str">
        <x:v>Intermediate and large thresholds increased substantially.</x:v>
      </x:c>
      <x:c r="D9" s="27" t="str">
        <x:v>R560m</x:v>
      </x:c>
      <x:c r="E9" s="27" t="str">
        <x:v>R80m</x:v>
      </x:c>
      <x:c r="F9" s="27" t="str">
        <x:v>R6.6bn</x:v>
      </x:c>
      <x:c r="G9" s="27" t="str">
        <x:v>R190m</x:v>
      </x:c>
      <x:c r="H9" s="27" t="str">
        <x:v>R100k</x:v>
      </x:c>
      <x:c r="I9" s="27" t="str">
        <x:v>R350k</x:v>
      </x:c>
      <x:c r="J9" s="27" t="n">
        <x:v>1</x:v>
      </x:c>
      <x:c r="K9" s="27" t="str">
        <x:v>S009</x:v>
      </x:c>
      <x:c r="L9" s="27" t="str">
        <x:v>Major break; coincides with global recession.</x:v>
      </x:c>
    </x:row>
    <x:row r="10">
      <x:c r="A10" s="27" t="str">
        <x:v>1 Apr 2009 / 2009/10</x:v>
      </x:c>
      <x:c r="B10" s="27" t="str">
        <x:v>Small-merger policy</x:v>
      </x:c>
      <x:c r="C10" s="27" t="str">
        <x:v>Small-merger guidelines applied alongside new thresholds; below-threshold mergers remained reviewable in specified circumstances.</x:v>
      </x:c>
      <x:c r="D10" s="27" t="str">
        <x:v>Below lower threshold</x:v>
      </x:c>
      <x:c r="E10" s="27" t="str">
        <x:v>Below R80m target test</x:v>
      </x:c>
      <x:c r="F10" s="27" t="str">
        <x:v>NA</x:v>
      </x:c>
      <x:c r="G10" s="27" t="str">
        <x:v>NA</x:v>
      </x:c>
      <x:c r="H10" s="27" t="str">
        <x:v>No prescribed small fee</x:v>
      </x:c>
      <x:c r="I10" s="27" t="str">
        <x:v>NA</x:v>
      </x:c>
      <x:c r="J10" s="27" t="n">
        <x:v>1</x:v>
      </x:c>
      <x:c r="K10" s="27" t="str">
        <x:v>S009</x:v>
      </x:c>
      <x:c r="L10" s="27" t="str">
        <x:v>Threshold increase does not imply zero oversight below threshold.</x:v>
      </x:c>
    </x:row>
    <x:row r="11">
      <x:c r="A11" s="27" t="str">
        <x:v>Oct 2017 / 2017/18</x:v>
      </x:c>
      <x:c r="B11" s="27" t="str">
        <x:v>Threshold increase</x:v>
      </x:c>
      <x:c r="C11" s="27" t="str">
        <x:v>Lower/intermediate threshold increased; large threshold retained.</x:v>
      </x:c>
      <x:c r="D11" s="27" t="str">
        <x:v>R600m</x:v>
      </x:c>
      <x:c r="E11" s="27" t="str">
        <x:v>R100m</x:v>
      </x:c>
      <x:c r="F11" s="27" t="str">
        <x:v>R6.6bn</x:v>
      </x:c>
      <x:c r="G11" s="27" t="str">
        <x:v>R190m</x:v>
      </x:c>
      <x:c r="H11" s="27" t="str">
        <x:v>R150k</x:v>
      </x:c>
      <x:c r="I11" s="27" t="str">
        <x:v>R500k</x:v>
      </x:c>
      <x:c r="J11" s="27" t="n">
        <x:v>1</x:v>
      </x:c>
      <x:c r="K11" s="27" t="str">
        <x:v>S017</x:v>
      </x:c>
      <x:c r="L11" s="27" t="str">
        <x:v>FY2017/18 is a transition year; first full FY is 2018/19.</x:v>
      </x:c>
    </x:row>
    <x:row r="12">
      <x:c r="A12" s="27" t="str">
        <x:v>2018/19</x:v>
      </x:c>
      <x:c r="B12" s="27" t="str">
        <x:v>Filing-fee revision</x:v>
      </x:c>
      <x:c r="C12" s="27" t="str">
        <x:v>Filing fees R165k intermediate and R550k large.</x:v>
      </x:c>
      <x:c r="D12" s="27" t="str">
        <x:v>R600m</x:v>
      </x:c>
      <x:c r="E12" s="27" t="str">
        <x:v>R100m</x:v>
      </x:c>
      <x:c r="F12" s="27" t="str">
        <x:v>R6.6bn</x:v>
      </x:c>
      <x:c r="G12" s="27" t="str">
        <x:v>R190m</x:v>
      </x:c>
      <x:c r="H12" s="27" t="str">
        <x:v>R165k</x:v>
      </x:c>
      <x:c r="I12" s="27" t="str">
        <x:v>R550k</x:v>
      </x:c>
      <x:c r="J12" s="27" t="n">
        <x:v>1</x:v>
      </x:c>
      <x:c r="K12" s="27" t="str">
        <x:v>S018</x:v>
      </x:c>
      <x:c r="L12" s="27" t="str">
        <x:v>Changes filing cost/revenue, not notification screen.</x:v>
      </x:c>
    </x:row>
    <x:row r="13">
      <x:c r="A13" s="27" t="str">
        <x:v>2020/21 onward</x:v>
      </x:c>
      <x:c r="B13" s="27" t="str">
        <x:v>Public-interest implementation</x:v>
      </x:c>
      <x:c r="C13" s="27" t="str">
        <x:v>Greater emphasis on amended public-interest provisions including ownership and SME/HDP participation.</x:v>
      </x:c>
      <x:c r="D13" s="27" t="str">
        <x:v>R600m</x:v>
      </x:c>
      <x:c r="E13" s="27" t="str">
        <x:v>R100m</x:v>
      </x:c>
      <x:c r="F13" s="27" t="str">
        <x:v>R6.6bn</x:v>
      </x:c>
      <x:c r="G13" s="27" t="str">
        <x:v>R190m</x:v>
      </x:c>
      <x:c r="H13" s="27" t="str">
        <x:v>R165k</x:v>
      </x:c>
      <x:c r="I13" s="27" t="str">
        <x:v>R550k</x:v>
      </x:c>
      <x:c r="J13" s="27" t="n">
        <x:v>1</x:v>
      </x:c>
      <x:c r="K13" s="27" t="str">
        <x:v>S022</x:v>
      </x:c>
      <x:c r="L13" s="27" t="str">
        <x:v>Raises remedy intensity and complicates workload comparisons.</x:v>
      </x:c>
    </x:row>
    <x:row r="14">
      <x:c r="A14" s="27" t="str">
        <x:v>1 Dec 2022 / 2022/23</x:v>
      </x:c>
      <x:c r="B14" s="27" t="str">
        <x:v>Small-merger guideline revision</x:v>
      </x:c>
      <x:c r="C14" s="27" t="str">
        <x:v>Final guidelines revised, including attention to digital/technology acquisitions below ordinary thresholds.</x:v>
      </x:c>
      <x:c r="D14" s="27" t="str">
        <x:v>R600m</x:v>
      </x:c>
      <x:c r="E14" s="27" t="str">
        <x:v>R100m</x:v>
      </x:c>
      <x:c r="F14" s="27" t="str">
        <x:v>R6.6bn</x:v>
      </x:c>
      <x:c r="G14" s="27" t="str">
        <x:v>R190m</x:v>
      </x:c>
      <x:c r="H14" s="27" t="str">
        <x:v>R165k</x:v>
      </x:c>
      <x:c r="I14" s="27" t="str">
        <x:v>R550k</x:v>
      </x:c>
      <x:c r="J14" s="27" t="n">
        <x:v>1</x:v>
      </x:c>
      <x:c r="K14" s="27" t="str">
        <x:v>S022</x:v>
      </x:c>
      <x:c r="L14" s="27" t="str">
        <x:v>Changes under-inclusion safeguard.</x:v>
      </x:c>
    </x:row>
    <x:row r="15">
      <x:c r="A15" s="27" t="str">
        <x:v>2024/25</x:v>
      </x:c>
      <x:c r="B15" s="27" t="str">
        <x:v>Threshold status</x:v>
      </x:c>
      <x:c r="C15" s="27" t="str">
        <x:v>Thresholds still those last revised in October 2017.</x:v>
      </x:c>
      <x:c r="D15" s="27" t="str">
        <x:v>R600m</x:v>
      </x:c>
      <x:c r="E15" s="27" t="str">
        <x:v>R100m</x:v>
      </x:c>
      <x:c r="F15" s="27" t="str">
        <x:v>R6.6bn</x:v>
      </x:c>
      <x:c r="G15" s="27" t="str">
        <x:v>R190m</x:v>
      </x:c>
      <x:c r="H15" s="27" t="str">
        <x:v>R165k</x:v>
      </x:c>
      <x:c r="I15" s="27" t="str">
        <x:v>R550k</x:v>
      </x:c>
      <x:c r="J15" s="27" t="n">
        <x:v>0</x:v>
      </x:c>
      <x:c r="K15" s="27" t="str">
        <x:v>S024</x:v>
      </x:c>
      <x:c r="L15" s="27" t="str">
        <x:v>Confirms long fixed-nominal spell through March 2025.</x:v>
      </x:c>
    </x:row>
  </x:sheetData>
  <x:mergeCells>
    <x:mergeCell ref="A1:L1"/>
    <x:mergeCell ref="A2:L2"/>
  </x:mergeCells>
  <x:conditionalFormatting sqref="J5:J15">
    <x:cfRule type="expression" dxfId="4" priority="1">
      <x:formula>J5=1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b5fab5e6c944255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2" hidden="0" customWidth="1"/>
    <x:col min="3" max="3" width="58" hidden="0" customWidth="1"/>
    <x:col min="4" max="4" width="58" hidden="0" customWidth="1"/>
    <x:col min="5" max="5" width="28" hidden="0" customWidth="1"/>
  </x:cols>
  <x:sheetData>
    <x:row r="1" ht="28" customHeight="1">
      <x:c r="A1" s="4" t="str">
        <x:v>Definitions and Comparability Rules</x:v>
      </x:c>
      <x:c r="B1" s="4"/>
      <x:c r="C1" s="4"/>
      <x:c r="D1" s="4"/>
      <x:c r="E1" s="4"/>
    </x:row>
    <x:row r="2" ht="32" customHeight="1">
      <x:c r="A2" s="11" t="str">
        <x:v>Keep administrative events, statutory size categories, complexity phases and substantive outcomes conceptually separate.</x:v>
      </x:c>
      <x:c r="B2" s="11"/>
      <x:c r="C2" s="11"/>
      <x:c r="D2" s="11"/>
      <x:c r="E2" s="11"/>
    </x:row>
    <x:row r="4" ht="30" customHeight="1">
      <x:c r="A4" s="20" t="str">
        <x:v>Term</x:v>
      </x:c>
      <x:c r="B4" s="20" t="str">
        <x:v>Meaning in reports</x:v>
      </x:c>
      <x:c r="C4" s="20" t="str">
        <x:v>Comparability risk</x:v>
      </x:c>
      <x:c r="D4" s="20" t="str">
        <x:v>Required treatment</x:v>
      </x:c>
      <x:c r="E4" s="20" t="str">
        <x:v>Research use</x:v>
      </x:c>
    </x:row>
    <x:row r="5">
      <x:c r="A5" s="27" t="str">
        <x:v>Notified</x:v>
      </x:c>
      <x:c r="B5" s="27" t="str">
        <x:v>Cases/transactions notified during the financial year.</x:v>
      </x:c>
      <x:c r="C5" s="27" t="str">
        <x:v>May include voluntary/called-in small mergers; differs from finalised due to carry-over.</x:v>
      </x:c>
      <x:c r="D5" s="27" t="str">
        <x:v>Use as notification workload measure after aligning financial year and unit.</x:v>
      </x:c>
      <x:c r="E5" s="27" t="str">
        <x:v>Threshold screening / workload</x:v>
      </x:c>
    </x:row>
    <x:row r="6">
      <x:c r="A6" s="27" t="str">
        <x:v>Finalised</x:v>
      </x:c>
      <x:c r="B6" s="27" t="str">
        <x:v>Cases completed during the year; definition varies.</x:v>
      </x:c>
      <x:c r="C6" s="27" t="str">
        <x:v>Some years include residual cases; others exclude them; may include prior-year filings.</x:v>
      </x:c>
      <x:c r="D6" s="27" t="str">
        <x:v>Retain report-specific definition and residual-inclusion flag.</x:v>
      </x:c>
      <x:c r="E6" s="27" t="str">
        <x:v>Administrative throughput</x:v>
      </x:c>
    </x:row>
    <x:row r="7">
      <x:c r="A7" s="27" t="str">
        <x:v>Approved without conditions</x:v>
      </x:c>
      <x:c r="B7" s="27" t="str">
        <x:v>Commission approval or recommendation without remedies.</x:v>
      </x:c>
      <x:c r="C7" s="27" t="str">
        <x:v>Large mergers are ultimately decided by Tribunal.</x:v>
      </x:c>
      <x:c r="D7" s="27" t="str">
        <x:v>Treat as reported Commission handling; not always final legal outcome.</x:v>
      </x:c>
      <x:c r="E7" s="27" t="str">
        <x:v>Outcome composition</x:v>
      </x:c>
    </x:row>
    <x:row r="8">
      <x:c r="A8" s="27" t="str">
        <x:v>Approved with conditions</x:v>
      </x:c>
      <x:c r="B8" s="27" t="str">
        <x:v>Approval/recommendation with structural, behavioural or public-interest remedies.</x:v>
      </x:c>
      <x:c r="C8" s="27" t="str">
        <x:v>Remedy taxonomy/public-interest emphasis changes.</x:v>
      </x:c>
      <x:c r="D8" s="27" t="str">
        <x:v>Use with institutional break flags.</x:v>
      </x:c>
      <x:c r="E8" s="27" t="str">
        <x:v>Intervention intensity</x:v>
      </x:c>
    </x:row>
    <x:row r="9">
      <x:c r="A9" s="27" t="str">
        <x:v>Prohibited</x:v>
      </x:c>
      <x:c r="B9" s="27" t="str">
        <x:v>Commission prohibition of small/intermediate or recommendation concerning large merger.</x:v>
      </x:c>
      <x:c r="C9" s="27" t="str">
        <x:v>Tribunal may overturn/reconsider large-merger recommendation.</x:v>
      </x:c>
      <x:c r="D9" s="27" t="str">
        <x:v>Distinguish decision-maker when case-level interpretation matters.</x:v>
      </x:c>
      <x:c r="E9" s="27" t="str">
        <x:v>Enforcement outcome</x:v>
      </x:c>
    </x:row>
    <x:row r="10">
      <x:c r="A10" s="27" t="str">
        <x:v>Withdrawn / no jurisdiction</x:v>
      </x:c>
      <x:c r="B10" s="27" t="str">
        <x:v>Residual category often combined in annual tables.</x:v>
      </x:c>
      <x:c r="C10" s="27" t="str">
        <x:v>Withdrawal and jurisdiction are distinct; inclusion in finalised varies.</x:v>
      </x:c>
      <x:c r="D10" s="27" t="str">
        <x:v>Keep combined unless source disaggregates.</x:v>
      </x:c>
      <x:c r="E10" s="27" t="str">
        <x:v>Throughput reconciliation</x:v>
      </x:c>
    </x:row>
    <x:row r="11">
      <x:c r="A11" s="27" t="str">
        <x:v>Small merger</x:v>
      </x:c>
      <x:c r="B11" s="27" t="str">
        <x:v>Below prescribed intermediate threshold.</x:v>
      </x:c>
      <x:c r="C11" s="27" t="str">
        <x:v>Generally not mandatory; reported cases are selected.</x:v>
      </x:c>
      <x:c r="D11" s="27" t="str">
        <x:v>Never use as population of below-threshold M&amp;A.</x:v>
      </x:c>
      <x:c r="E11" s="27" t="str">
        <x:v>Under-inclusion safeguard</x:v>
      </x:c>
    </x:row>
    <x:row r="12">
      <x:c r="A12" s="27" t="str">
        <x:v>Intermediate / Large</x:v>
      </x:c>
      <x:c r="B12" s="27" t="str">
        <x:v>Statutory size categories based on turnover/assets thresholds.</x:v>
      </x:c>
      <x:c r="C12" s="27" t="str">
        <x:v>Threshold levels change over time.</x:v>
      </x:c>
      <x:c r="D12" s="27" t="str">
        <x:v>Use correct regime dates; flag transition FYs.</x:v>
      </x:c>
      <x:c r="E12" s="27" t="str">
        <x:v>Threshold classification</x:v>
      </x:c>
    </x:row>
    <x:row r="13">
      <x:c r="A13" s="27" t="str">
        <x:v>Transitional merger</x:v>
      </x:c>
      <x:c r="B13" s="27" t="str">
        <x:v>Early category before stable small/intermediate/large architecture.</x:v>
      </x:c>
      <x:c r="C13" s="27" t="str">
        <x:v>Not comparable with later statutory size classes.</x:v>
      </x:c>
      <x:c r="D13" s="27" t="str">
        <x:v>Preserve separately; do not force into later categories.</x:v>
      </x:c>
      <x:c r="E13" s="27" t="str">
        <x:v>Early-period audit</x:v>
      </x:c>
    </x:row>
    <x:row r="14">
      <x:c r="A14" s="27" t="str">
        <x:v>Phase 1</x:v>
      </x:c>
      <x:c r="B14" s="27" t="str">
        <x:v>Non-complex merger investigation.</x:v>
      </x:c>
      <x:c r="C14" s="27" t="str">
        <x:v>Service standards/definitions evolve.</x:v>
      </x:c>
      <x:c r="D14" s="27" t="str">
        <x:v>Treat as complexity, not transaction size.</x:v>
      </x:c>
      <x:c r="E14" s="27" t="str">
        <x:v>Routine-case workload</x:v>
      </x:c>
    </x:row>
    <x:row r="15">
      <x:c r="A15" s="27" t="str">
        <x:v>Phase 2</x:v>
      </x:c>
      <x:c r="B15" s="27" t="str">
        <x:v>Complex merger requiring further analysis.</x:v>
      </x:c>
      <x:c r="C15" s="27" t="str">
        <x:v>Affected by staffing, policy priorities and public interest.</x:v>
      </x:c>
      <x:c r="D15" s="27" t="str">
        <x:v>Use as workload/composition indicator.</x:v>
      </x:c>
      <x:c r="E15" s="27" t="str">
        <x:v>Complex-case workload</x:v>
      </x:c>
    </x:row>
    <x:row r="16">
      <x:c r="A16" s="27" t="str">
        <x:v>Phase 3</x:v>
      </x:c>
      <x:c r="B16" s="27" t="str">
        <x:v>Very complex / in-depth investigation.</x:v>
      </x:c>
      <x:c r="C16" s="27" t="str">
        <x:v>Later years split large from small/intermediate and may report 90% metric.</x:v>
      </x:c>
      <x:c r="D16" s="27" t="str">
        <x:v>Preserve exact metric and split.</x:v>
      </x:c>
      <x:c r="E16" s="27" t="str">
        <x:v>High-complexity workload</x:v>
      </x:c>
    </x:row>
    <x:row r="17">
      <x:c r="A17" s="27" t="str">
        <x:v>Sector share</x:v>
      </x:c>
      <x:c r="B17" s="27" t="str">
        <x:v>Share/count of merger activity by sector.</x:v>
      </x:c>
      <x:c r="C17" s="27" t="str">
        <x:v>Basis and sector classifications change.</x:v>
      </x:c>
      <x:c r="D17" s="27" t="str">
        <x:v>Preserve raw sector name and statistic basis; harmonise only secondarily.</x:v>
      </x:c>
      <x:c r="E17" s="27" t="str">
        <x:v>Case-composition control</x:v>
      </x:c>
    </x:row>
    <x:row r="18">
      <x:c r="A18" s="27" t="str">
        <x:v>Public-interest condition</x:v>
      </x:c>
      <x:c r="B18" s="27" t="str">
        <x:v>Condition addressing employment, SMEs/HDPs, ownership, sector/region and related factors.</x:v>
      </x:c>
      <x:c r="C18" s="27" t="str">
        <x:v>Legal/enforcement emphasis changes materially.</x:v>
      </x:c>
      <x:c r="D18" s="27" t="str">
        <x:v>Do not read rising conditions as only rising competition risk.</x:v>
      </x:c>
      <x:c r="E18" s="27" t="str">
        <x:v>Substantive regime shift</x:v>
      </x:c>
    </x:row>
    <x:row r="19">
      <x:c r="A19" s="27" t="str">
        <x:v>Threshold erosion</x:v>
      </x:c>
      <x:c r="B19" s="27" t="str">
        <x:v>Fixed nominal threshold becomes smaller relative to prices/output/valuations/firm scale.</x:v>
      </x:c>
      <x:c r="C19" s="27" t="str">
        <x:v>Depends on benchmark concept.</x:v>
      </x:c>
      <x:c r="D19" s="27" t="str">
        <x:v>Evaluate against multiple benchmarks.</x:v>
      </x:c>
      <x:c r="E19" s="27" t="str">
        <x:v>Core dissertation mechanism</x:v>
      </x:c>
    </x:row>
    <x:row r="20">
      <x:c r="A20" s="27" t="str">
        <x:v>Regulatory workload</x:v>
      </x:c>
      <x:c r="B20" s="27" t="str">
        <x:v>Resources consumed by merger review.</x:v>
      </x:c>
      <x:c r="C20" s="27" t="str">
        <x:v>Notification counts omit complexity, turnaround and monitoring.</x:v>
      </x:c>
      <x:c r="D20" s="27" t="str">
        <x:v>Use multiple indicators.</x:v>
      </x:c>
      <x:c r="E20" s="27" t="str">
        <x:v>Core workload analysis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4c625d0132a24a3f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58" hidden="0" customWidth="1"/>
    <x:col min="4" max="4" width="58" hidden="0" customWidth="1"/>
    <x:col min="5" max="5" width="14" hidden="0" customWidth="1"/>
    <x:col min="6" max="6" width="42" hidden="0" customWidth="1"/>
    <x:col min="7" max="7" width="58" hidden="0" customWidth="1"/>
  </x:cols>
  <x:sheetData>
    <x:row r="1" ht="28" customHeight="1">
      <x:c r="A1" s="4" t="str">
        <x:v>Coverage Gaps and Follow-Up Priorities</x:v>
      </x:c>
      <x:c r="B1" s="4"/>
      <x:c r="C1" s="4"/>
      <x:c r="D1" s="4"/>
      <x:c r="E1" s="4"/>
      <x:c r="F1" s="4"/>
      <x:c r="G1" s="4"/>
    </x:row>
    <x:row r="2" ht="32" customHeight="1">
      <x:c r="A2" s="11" t="str">
        <x:v>The core annual series is strong through 2024/25, but several high-value controls remain incomplete.</x:v>
      </x:c>
      <x:c r="B2" s="11"/>
      <x:c r="C2" s="11"/>
      <x:c r="D2" s="11"/>
      <x:c r="E2" s="11"/>
      <x:c r="F2" s="11"/>
      <x:c r="G2" s="11"/>
    </x:row>
    <x:row r="4" ht="30" customHeight="1">
      <x:c r="A4" s="20" t="str">
        <x:v>Period / variable</x:v>
      </x:c>
      <x:c r="B4" s="20" t="str">
        <x:v>Status</x:v>
      </x:c>
      <x:c r="C4" s="20" t="str">
        <x:v>What is available</x:v>
      </x:c>
      <x:c r="D4" s="20" t="str">
        <x:v>Gap</x:v>
      </x:c>
      <x:c r="E4" s="20" t="str">
        <x:v>Priority</x:v>
      </x:c>
      <x:c r="F4" s="20" t="str">
        <x:v>Recommended next source</x:v>
      </x:c>
      <x:c r="G4" s="20" t="str">
        <x:v>Why it matters</x:v>
      </x:c>
    </x:row>
    <x:row r="5">
      <x:c r="A5" s="27" t="str">
        <x:v>1998/99</x:v>
      </x:c>
      <x:c r="B5" s="27" t="str">
        <x:v>Missing</x:v>
      </x:c>
      <x:c r="C5" s="27" t="str">
        <x:v>No direct merger series in current bundle.</x:v>
      </x:c>
      <x:c r="D5" s="27" t="str">
        <x:v>Confirm whether a partial inception-year report exists.</x:v>
      </x:c>
      <x:c r="E5" s="27" t="str">
        <x:v>Medium</x:v>
      </x:c>
      <x:c r="F5" s="27" t="str">
        <x:v>Commission archive / National Treasury</x:v>
      </x:c>
      <x:c r="G5" s="27" t="str">
        <x:v>Establish true series start.</x:v>
      </x:c>
    </x:row>
    <x:row r="6">
      <x:c r="A6" s="27" t="str">
        <x:v>1999/00-2003/04</x:v>
      </x:c>
      <x:c r="B6" s="27" t="str">
        <x:v>Partial / recovered</x:v>
      </x:c>
      <x:c r="C6" s="27" t="str">
        <x:v>Core series from early reports/comparative tables.</x:v>
      </x:c>
      <x:c r="D6" s="27" t="str">
        <x:v>Not every FY has standalone narrative; 2001/02 recovered.</x:v>
      </x:c>
      <x:c r="E6" s="27" t="str">
        <x:v>High</x:v>
      </x:c>
      <x:c r="F6" s="27" t="str">
        <x:v>Original standalone reports</x:v>
      </x:c>
      <x:c r="G6" s="27" t="str">
        <x:v>Early threshold rationale, sector and definitions.</x:v>
      </x:c>
    </x:row>
    <x:row r="7">
      <x:c r="A7" s="27" t="str">
        <x:v>2004/05-2024/25</x:v>
      </x:c>
      <x:c r="B7" s="27" t="str">
        <x:v>Strong core coverage</x:v>
      </x:c>
      <x:c r="C7" s="27" t="str">
        <x:v>Direct annual-report extracts/reports for each year.</x:v>
      </x:c>
      <x:c r="D7" s="27" t="str">
        <x:v>Some extracts omit HR/financial sections.</x:v>
      </x:c>
      <x:c r="E7" s="27" t="str">
        <x:v>High</x:v>
      </x:c>
      <x:c r="F7" s="27" t="str">
        <x:v>Full annual reports</x:v>
      </x:c>
      <x:c r="G7" s="27" t="str">
        <x:v>M&amp;A headcount, vacancies, budget and resource controls.</x:v>
      </x:c>
    </x:row>
    <x:row r="8">
      <x:c r="A8" s="27" t="str">
        <x:v>2025/26</x:v>
      </x:c>
      <x:c r="B8" s="27" t="str">
        <x:v>Not supplied</x:v>
      </x:c>
      <x:c r="C8" s="27" t="str">
        <x:v>No annual report in current bundle.</x:v>
      </x:c>
      <x:c r="D8" s="27" t="str">
        <x:v>Latest completed-year report not incorporated.</x:v>
      </x:c>
      <x:c r="E8" s="27" t="str">
        <x:v>High</x:v>
      </x:c>
      <x:c r="F8" s="27" t="str">
        <x:v>Competition Commission 2025/26 annual report</x:v>
      </x:c>
      <x:c r="G8" s="27" t="str">
        <x:v>Extend through 2026 threshold reform.</x:v>
      </x:c>
    </x:row>
    <x:row r="9">
      <x:c r="A9" s="27" t="str">
        <x:v>Phase counts 2012/13</x:v>
      </x:c>
      <x:c r="B9" s="27" t="str">
        <x:v>Missing aggregate</x:v>
      </x:c>
      <x:c r="C9" s="27" t="str">
        <x:v>Core/case information available.</x:v>
      </x:c>
      <x:c r="D9" s="27" t="str">
        <x:v>No reliable aggregate Phase 1/2/3 counts.</x:v>
      </x:c>
      <x:c r="E9" s="27" t="str">
        <x:v>Medium</x:v>
      </x:c>
      <x:c r="F9" s="27" t="str">
        <x:v>Performance annex / M&amp;A database</x:v>
      </x:c>
      <x:c r="G9" s="27" t="str">
        <x:v>Fill complexity series.</x:v>
      </x:c>
    </x:row>
    <x:row r="10">
      <x:c r="A10" s="27" t="str">
        <x:v>Phase counts 2016/17</x:v>
      </x:c>
      <x:c r="B10" s="27" t="str">
        <x:v>Partial</x:v>
      </x:c>
      <x:c r="C10" s="27" t="str">
        <x:v>Phase turnaround available.</x:v>
      </x:c>
      <x:c r="D10" s="27" t="str">
        <x:v>Reliable counts not exposed.</x:v>
      </x:c>
      <x:c r="E10" s="27" t="str">
        <x:v>Medium</x:v>
      </x:c>
      <x:c r="F10" s="27" t="str">
        <x:v>Full visual table / M&amp;A database</x:v>
      </x:c>
      <x:c r="G10" s="27" t="str">
        <x:v>Fill complexity series.</x:v>
      </x:c>
    </x:row>
    <x:row r="11">
      <x:c r="A11" s="27" t="str">
        <x:v>Sector distributions</x:v>
      </x:c>
      <x:c r="B11" s="27" t="str">
        <x:v>Intermittent</x:v>
      </x:c>
      <x:c r="C11" s="27" t="str">
        <x:v>Strong distributions for selected years.</x:v>
      </x:c>
      <x:c r="D11" s="27" t="str">
        <x:v>Several years missing/not extracted.</x:v>
      </x:c>
      <x:c r="E11" s="27" t="str">
        <x:v>Medium</x:v>
      </x:c>
      <x:c r="F11" s="27" t="str">
        <x:v>Full annual-report charts / M&amp;A database</x:v>
      </x:c>
      <x:c r="G11" s="27" t="str">
        <x:v>Consistent sector controls.</x:v>
      </x:c>
    </x:row>
    <x:row r="12">
      <x:c r="A12" s="27" t="str">
        <x:v>M&amp;A staffing / budget</x:v>
      </x:c>
      <x:c r="B12" s="27" t="str">
        <x:v>Sparse</x:v>
      </x:c>
      <x:c r="C12" s="27" t="str">
        <x:v>Qualitative capacity and performance indicators.</x:v>
      </x:c>
      <x:c r="D12" s="27" t="str">
        <x:v>Annual division headcount/vacancies/expenditure incomplete.</x:v>
      </x:c>
      <x:c r="E12" s="27" t="str">
        <x:v>High</x:v>
      </x:c>
      <x:c r="F12" s="27" t="str">
        <x:v>Full annual reports / HR and financial statements</x:v>
      </x:c>
      <x:c r="G12" s="27" t="str">
        <x:v>Direct workload-capacity control.</x:v>
      </x:c>
    </x:row>
    <x:row r="13">
      <x:c r="A13" s="27" t="str">
        <x:v>Transaction values</x:v>
      </x:c>
      <x:c r="B13" s="27" t="str">
        <x:v>Sparse</x:v>
      </x:c>
      <x:c r="C13" s="27" t="str">
        <x:v>Case values/PI commitments intermittent.</x:v>
      </x:c>
      <x:c r="D13" s="27" t="str">
        <x:v>No consistent annual transaction-value distribution.</x:v>
      </x:c>
      <x:c r="E13" s="27" t="str">
        <x:v>Low</x:v>
      </x:c>
      <x:c r="F13" s="27" t="str">
        <x:v>Bloomberg M&amp;A / Commission database</x:v>
      </x:c>
      <x:c r="G13" s="27" t="str">
        <x:v>Transaction-size counterfactuals.</x:v>
      </x:c>
    </x:row>
    <x:row r="14">
      <x:c r="A14" s="27" t="str">
        <x:v>Cross-border activity</x:v>
      </x:c>
      <x:c r="B14" s="27" t="str">
        <x:v>Sparse</x:v>
      </x:c>
      <x:c r="C14" s="27" t="str">
        <x:v>Selected multinational cases.</x:v>
      </x:c>
      <x:c r="D14" s="27" t="str">
        <x:v>No consistent annual domestic/foreign/cross-border series.</x:v>
      </x:c>
      <x:c r="E14" s="27" t="str">
        <x:v>Low</x:v>
      </x:c>
      <x:c r="F14" s="27" t="str">
        <x:v>Case database / full international sections</x:v>
      </x:c>
      <x:c r="G14" s="27" t="str">
        <x:v>Global-cycle and complexity control.</x:v>
      </x:c>
    </x:row>
  </x:sheetData>
  <x:mergeCells>
    <x:mergeCell ref="A1:G1"/>
    <x:mergeCell ref="A2:G2"/>
  </x:mergeCells>
  <x:conditionalFormatting sqref="E5:E14">
    <x:cfRule type="expression" dxfId="5" priority="1">
      <x:formula>E5="High"</x:formula>
    </x:cfRule>
    <x:cfRule type="expression" dxfId="6" priority="2">
      <x:formula>E5="Medium"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7d12217d34f4b85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42" hidden="0" customWidth="1"/>
    <x:col min="4" max="4" width="42" hidden="0" customWidth="1"/>
    <x:col min="5" max="5" width="46" hidden="0" customWidth="1"/>
    <x:col min="6" max="6" width="62" hidden="0" customWidth="1"/>
    <x:col min="7" max="7" width="12" hidden="0" customWidth="1"/>
    <x:col min="8" max="8" width="52" hidden="0" customWidth="1"/>
  </x:cols>
  <x:sheetData>
    <x:row r="1" ht="28" customHeight="1">
      <x:c r="A1" s="4" t="str">
        <x:v>Conflicting Figures and Unreconciled Totals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Conflicts are preserved and resolved only by a stated source hierarchy; no source value is silently rewritten.</x:v>
      </x:c>
      <x:c r="B2" s="11"/>
      <x:c r="C2" s="11"/>
      <x:c r="D2" s="11"/>
      <x:c r="E2" s="11"/>
      <x:c r="F2" s="11"/>
      <x:c r="G2" s="11"/>
      <x:c r="H2" s="11"/>
    </x:row>
    <x:row r="4" ht="30" customHeight="1">
      <x:c r="A4" s="20" t="str">
        <x:v>Financial year</x:v>
      </x:c>
      <x:c r="B4" s="20" t="str">
        <x:v>Variable</x:v>
      </x:c>
      <x:c r="C4" s="20" t="str">
        <x:v>Value / interpretation A</x:v>
      </x:c>
      <x:c r="D4" s="20" t="str">
        <x:v>Value / interpretation B</x:v>
      </x:c>
      <x:c r="E4" s="20" t="str">
        <x:v>Source basis</x:v>
      </x:c>
      <x:c r="F4" s="20" t="str">
        <x:v>Canonical treatment</x:v>
      </x:c>
      <x:c r="G4" s="20" t="str">
        <x:v>Severity</x:v>
      </x:c>
      <x:c r="H4" s="20" t="str">
        <x:v>Research implication</x:v>
      </x:c>
    </x:row>
    <x:row r="5">
      <x:c r="A5" s="27" t="str">
        <x:v>1999/00</x:v>
      </x:c>
      <x:c r="B5" s="27" t="str">
        <x:v>Outcome accounting</x:v>
      </x:c>
      <x:c r="C5" s="27" t="str">
        <x:v>Approved total 236; prohibited 5</x:v>
      </x:c>
      <x:c r="D5" s="27" t="str">
        <x:v>Residual 231 plus transitional/size rows do not form later-style identity</x:v>
      </x:c>
      <x:c r="E5" s="27" t="str">
        <x:v>S001 Table 7</x:v>
      </x:c>
      <x:c r="F5" s="27" t="str">
        <x:v>Preserve categories; mark transitional.</x:v>
      </x:c>
      <x:c r="G5" s="27" t="str">
        <x:v>High</x:v>
      </x:c>
      <x:c r="H5" s="27" t="str">
        <x:v>Exclude from clean later outcome-rate regressions.</x:v>
      </x:c>
    </x:row>
    <x:row r="6">
      <x:c r="A6" s="27" t="str">
        <x:v>2005/06</x:v>
      </x:c>
      <x:c r="B6" s="27" t="str">
        <x:v>Approved with conditions</x:v>
      </x:c>
      <x:c r="C6" s="27" t="n">
        <x:v>14</x:v>
      </x:c>
      <x:c r="D6" s="27" t="n">
        <x:v>7</x:v>
      </x:c>
      <x:c r="E6" s="27" t="str">
        <x:v>S005 contemporaneous vs later rolling table</x:v>
      </x:c>
      <x:c r="F6" s="27" t="str">
        <x:v>Use 14 contemporaneous.</x:v>
      </x:c>
      <x:c r="G6" s="27" t="str">
        <x:v>High</x:v>
      </x:c>
      <x:c r="H6" s="27" t="str">
        <x:v>Affects intervention rate.</x:v>
      </x:c>
    </x:row>
    <x:row r="7">
      <x:c r="A7" s="27" t="str">
        <x:v>2008/09</x:v>
      </x:c>
      <x:c r="B7" s="27" t="str">
        <x:v>Notifications</x:v>
      </x:c>
      <x:c r="C7" s="27" t="n">
        <x:v>414</x:v>
      </x:c>
      <x:c r="D7" s="27" t="n">
        <x:v>415</x:v>
      </x:c>
      <x:c r="E7" s="27" t="str">
        <x:v>S008 narrative vs S009 comparative table</x:v>
      </x:c>
      <x:c r="F7" s="27" t="str">
        <x:v>Use 415 because size components reconcile; flag.</x:v>
      </x:c>
      <x:c r="G7" s="27" t="str">
        <x:v>High</x:v>
      </x:c>
      <x:c r="H7" s="27" t="str">
        <x:v>One-case difference before 2009 break.</x:v>
      </x:c>
    </x:row>
    <x:row r="8">
      <x:c r="A8" s="27" t="str">
        <x:v>2010/11</x:v>
      </x:c>
      <x:c r="B8" s="27" t="str">
        <x:v>Finalised / conditional</x:v>
      </x:c>
      <x:c r="C8" s="27" t="str">
        <x:v>220; 14</x:v>
      </x:c>
      <x:c r="D8" s="27" t="str">
        <x:v>Final-size sum 219; later 219 / 13</x:v>
      </x:c>
      <x:c r="E8" s="27" t="str">
        <x:v>S011 vs later tables</x:v>
      </x:c>
      <x:c r="F8" s="27" t="str">
        <x:v>Use 220 and 14; flag mismatch.</x:v>
      </x:c>
      <x:c r="G8" s="27" t="str">
        <x:v>High</x:v>
      </x:c>
      <x:c r="H8" s="27" t="str">
        <x:v>Throughput/intervention rate.</x:v>
      </x:c>
    </x:row>
    <x:row r="9">
      <x:c r="A9" s="27" t="str">
        <x:v>2011/12</x:v>
      </x:c>
      <x:c r="B9" s="27" t="str">
        <x:v>Finalised / residual</x:v>
      </x:c>
      <x:c r="C9" s="27" t="str">
        <x:v>282 / 7</x:v>
      </x:c>
      <x:c r="D9" s="27" t="str">
        <x:v>Later 283 / 8</x:v>
      </x:c>
      <x:c r="E9" s="27" t="str">
        <x:v>S011 vs later tables</x:v>
      </x:c>
      <x:c r="F9" s="27" t="str">
        <x:v>Use contemporaneous 282 / 7.</x:v>
      </x:c>
      <x:c r="G9" s="27" t="str">
        <x:v>High</x:v>
      </x:c>
      <x:c r="H9" s="27" t="str">
        <x:v>Small level shift.</x:v>
      </x:c>
    </x:row>
    <x:row r="10">
      <x:c r="A10" s="27" t="str">
        <x:v>2013/14</x:v>
      </x:c>
      <x:c r="B10" s="27" t="str">
        <x:v>Net employment</x:v>
      </x:c>
      <x:c r="C10" s="27" t="str">
        <x:v>+4,076</x:v>
      </x:c>
      <x:c r="D10" s="27" t="str">
        <x:v>+1,657</x:v>
      </x:c>
      <x:c r="E10" s="27" t="str">
        <x:v>S013 vs later S015 comparison</x:v>
      </x:c>
      <x:c r="F10" s="27" t="str">
        <x:v>Treat as different metrics/bases.</x:v>
      </x:c>
      <x:c r="G10" s="27" t="str">
        <x:v>High</x:v>
      </x:c>
      <x:c r="H10" s="27" t="str">
        <x:v>Job-impact series not directly spliceable.</x:v>
      </x:c>
    </x:row>
    <x:row r="11">
      <x:c r="A11" s="27" t="str">
        <x:v>2015/16</x:v>
      </x:c>
      <x:c r="B11" s="27" t="str">
        <x:v>Approved without conditions</x:v>
      </x:c>
      <x:c r="C11" s="27" t="n">
        <x:v>364</x:v>
      </x:c>
      <x:c r="D11" s="27" t="n">
        <x:v>367</x:v>
      </x:c>
      <x:c r="E11" s="27" t="str">
        <x:v>S015 vs later rolling table</x:v>
      </x:c>
      <x:c r="F11" s="27" t="str">
        <x:v>Use 364 contemporaneous.</x:v>
      </x:c>
      <x:c r="G11" s="27" t="str">
        <x:v>High</x:v>
      </x:c>
      <x:c r="H11" s="27" t="str">
        <x:v>Unconditional approval rate.</x:v>
      </x:c>
    </x:row>
    <x:row r="12">
      <x:c r="A12" s="27" t="str">
        <x:v>2016/17</x:v>
      </x:c>
      <x:c r="B12" s="27" t="str">
        <x:v>Finalised vs residual</x:v>
      </x:c>
      <x:c r="C12" s="27" t="str">
        <x:v>385 decisions; residual 3</x:v>
      </x:c>
      <x:c r="D12" s="27" t="str">
        <x:v>Adding residual gives 388</x:v>
      </x:c>
      <x:c r="E12" s="27" t="str">
        <x:v>S016</x:v>
      </x:c>
      <x:c r="F12" s="27" t="str">
        <x:v>Finalised excludes residual in this report.</x:v>
      </x:c>
      <x:c r="G12" s="27" t="str">
        <x:v>Medium</x:v>
      </x:c>
      <x:c r="H12" s="27" t="str">
        <x:v>Definition change.</x:v>
      </x:c>
    </x:row>
    <x:row r="13">
      <x:c r="A13" s="27" t="str">
        <x:v>2017/18</x:v>
      </x:c>
      <x:c r="B13" s="27" t="str">
        <x:v>Finalised size split</x:v>
      </x:c>
      <x:c r="C13" s="27" t="str">
        <x:v>120 / 260 / 8</x:v>
      </x:c>
      <x:c r="D13" s="27" t="str">
        <x:v>120 / 261 / 7</x:v>
      </x:c>
      <x:c r="E13" s="27" t="str">
        <x:v>S017 vs later table</x:v>
      </x:c>
      <x:c r="F13" s="27" t="str">
        <x:v>Use contemporaneous split.</x:v>
      </x:c>
      <x:c r="G13" s="27" t="str">
        <x:v>High</x:v>
      </x:c>
      <x:c r="H13" s="27" t="str">
        <x:v>Size composition.</x:v>
      </x:c>
    </x:row>
    <x:row r="14">
      <x:c r="A14" s="27" t="str">
        <x:v>2017/18</x:v>
      </x:c>
      <x:c r="B14" s="27" t="str">
        <x:v>Outcome reconciliation</x:v>
      </x:c>
      <x:c r="C14" s="27" t="str">
        <x:v>Finalised 388</x:v>
      </x:c>
      <x:c r="D14" s="27" t="str">
        <x:v>325 + 52 + 12 = 389 before residual</x:v>
      </x:c>
      <x:c r="E14" s="27" t="str">
        <x:v>S017</x:v>
      </x:c>
      <x:c r="F14" s="27" t="str">
        <x:v>Do not force reconciliation.</x:v>
      </x:c>
      <x:c r="G14" s="27" t="str">
        <x:v>High</x:v>
      </x:c>
      <x:c r="H14" s="27" t="str">
        <x:v>One-case mismatch.</x:v>
      </x:c>
    </x:row>
    <x:row r="15">
      <x:c r="A15" s="27" t="str">
        <x:v>2018/19</x:v>
      </x:c>
      <x:c r="B15" s="27" t="str">
        <x:v>PI condition cases</x:v>
      </x:c>
      <x:c r="C15" s="27" t="n">
        <x:v>45</x:v>
      </x:c>
      <x:c r="D15" s="27" t="n">
        <x:v>41</x:v>
      </x:c>
      <x:c r="E15" s="27" t="str">
        <x:v>S018 narrative vs aggregate outcome table</x:v>
      </x:c>
      <x:c r="F15" s="27" t="str">
        <x:v>Treat PI metric as separately scoped.</x:v>
      </x:c>
      <x:c r="G15" s="27" t="str">
        <x:v>High</x:v>
      </x:c>
      <x:c r="H15" s="27" t="str">
        <x:v>Scope/timing differs.</x:v>
      </x:c>
    </x:row>
    <x:row r="16">
      <x:c r="A16" s="27" t="str">
        <x:v>2019/20</x:v>
      </x:c>
      <x:c r="B16" s="27" t="str">
        <x:v>Finalised definition</x:v>
      </x:c>
      <x:c r="C16" s="27" t="str">
        <x:v>318 finalised</x:v>
      </x:c>
      <x:c r="D16" s="27" t="str">
        <x:v>Footnote excludes abandoned/withdrawn; residual row 3</x:v>
      </x:c>
      <x:c r="E16" s="27" t="str">
        <x:v>S019</x:v>
      </x:c>
      <x:c r="F16" s="27" t="str">
        <x:v>Preserve footnote and residual.</x:v>
      </x:c>
      <x:c r="G16" s="27" t="str">
        <x:v>High</x:v>
      </x:c>
      <x:c r="H16" s="27" t="str">
        <x:v>Comparability break.</x:v>
      </x:c>
    </x:row>
    <x:row r="17">
      <x:c r="A17" s="27" t="str">
        <x:v>2020/21</x:v>
      </x:c>
      <x:c r="B17" s="27" t="str">
        <x:v>Prohibited outcome</x:v>
      </x:c>
      <x:c r="C17" s="27" t="str">
        <x:v>One Commission prohibition + one recommendation highlighted</x:v>
      </x:c>
      <x:c r="D17" s="27" t="str">
        <x:v>Aggregate table reports 2</x:v>
      </x:c>
      <x:c r="E17" s="27" t="str">
        <x:v>S020</x:v>
      </x:c>
      <x:c r="F17" s="27" t="str">
        <x:v>Distinguish decision-maker.</x:v>
      </x:c>
      <x:c r="G17" s="27" t="str">
        <x:v>Medium</x:v>
      </x:c>
      <x:c r="H17" s="27" t="str">
        <x:v>Aggregate not necessarily two Commission final prohibitions.</x:v>
      </x:c>
    </x:row>
    <x:row r="18">
      <x:c r="A18" s="27" t="str">
        <x:v>2022/23</x:v>
      </x:c>
      <x:c r="B18" s="27" t="str">
        <x:v>Notification components</x:v>
      </x:c>
      <x:c r="C18" s="27" t="str">
        <x:v>Total 273</x:v>
      </x:c>
      <x:c r="D18" s="27" t="str">
        <x:v>105+165+6 = 276</x:v>
      </x:c>
      <x:c r="E18" s="27" t="str">
        <x:v>S022 Table 20</x:v>
      </x:c>
      <x:c r="F18" s="27" t="str">
        <x:v>Preserve all published values; CHECK.</x:v>
      </x:c>
      <x:c r="G18" s="27" t="str">
        <x:v>High</x:v>
      </x:c>
      <x:c r="H18" s="27" t="str">
        <x:v>Size shares cautious.</x:v>
      </x:c>
    </x:row>
    <x:row r="19">
      <x:c r="A19" s="27" t="str">
        <x:v>2024/25</x:v>
      </x:c>
      <x:c r="B19" s="27" t="str">
        <x:v>Retrenchment moratoria</x:v>
      </x:c>
      <x:c r="C19" s="27" t="str">
        <x:v>Narrative 41 protecting 415 workers</x:v>
      </x:c>
      <x:c r="D19" s="27" t="str">
        <x:v>Table total 42 protecting 415</x:v>
      </x:c>
      <x:c r="E19" s="27" t="str">
        <x:v>S024</x:v>
      </x:c>
      <x:c r="F19" s="27" t="str">
        <x:v>Use table total quantitatively; retain narrative discrepancy.</x:v>
      </x:c>
      <x:c r="G19" s="27" t="str">
        <x:v>Medium</x:v>
      </x:c>
      <x:c r="H19" s="27" t="str">
        <x:v>Remedy-count caution.</x:v>
      </x:c>
    </x:row>
  </x:sheetData>
  <x:mergeCells>
    <x:mergeCell ref="A1:H1"/>
    <x:mergeCell ref="A2:H2"/>
  </x:mergeCells>
  <x:conditionalFormatting sqref="G5:G19">
    <x:cfRule type="expression" dxfId="7" priority="1">
      <x:formula>G5="High"</x:formula>
    </x:cfRule>
    <x:cfRule type="expression" dxfId="8" priority="2">
      <x:formula>G5="Medium"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1d0f4af763749a3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18" hidden="0" customWidth="1"/>
    <x:col min="5" max="5" width="15" hidden="0" customWidth="1"/>
    <x:col min="6" max="6" width="18" hidden="0" customWidth="1"/>
    <x:col min="7" max="7" width="12" hidden="0" customWidth="1"/>
    <x:col min="8" max="8" width="16" hidden="0" customWidth="1"/>
    <x:col min="9" max="9" width="16" hidden="0" customWidth="1"/>
    <x:col min="10" max="10" width="11" hidden="0" customWidth="1"/>
    <x:col min="11" max="11" width="18" hidden="0" customWidth="1"/>
    <x:col min="12" max="12" width="17" hidden="0" customWidth="1"/>
    <x:col min="13" max="13" width="14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7" hidden="0" customWidth="1"/>
    <x:col min="19" max="19" width="58" hidden="0" customWidth="1"/>
    <x:col min="20" max="20" width="10" hidden="0" customWidth="1"/>
    <x:col min="21" max="21" width="12" hidden="0" customWidth="1"/>
  </x:cols>
  <x:sheetData>
    <x:row r="1" ht="28" customHeight="1">
      <x:c r="A1" s="4" t="str">
        <x:v>Research-Ready Annual Series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32" customHeight="1">
      <x:c r="A2" s="11" t="str">
        <x:v>Variables judged sufficiently interpretable for quantitative analysis. Growth/shares and spell indices are formulas; year-specific cautions flag structural breaks and confounders.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</x:row>
    <x:row r="4" ht="30" customHeight="1">
      <x:c r="A4" s="20" t="str">
        <x:v>Financial year</x:v>
      </x:c>
      <x:c r="B4" s="20" t="str">
        <x:v>Notified total</x:v>
      </x:c>
      <x:c r="C4" s="20" t="str">
        <x:v>Annual notification growth</x:v>
      </x:c>
      <x:c r="D4" s="20" t="str">
        <x:v>Threshold regime</x:v>
      </x:c>
      <x:c r="E4" s="20" t="str">
        <x:v>Years since first full FY</x:v>
      </x:c>
      <x:c r="F4" s="20" t="str">
        <x:v>Notification index (reset=100)</x:v>
      </x:c>
      <x:c r="G4" s="20" t="str">
        <x:v>Finalised total</x:v>
      </x:c>
      <x:c r="H4" s="20" t="str">
        <x:v>Unconditional approvals</x:v>
      </x:c>
      <x:c r="I4" s="20" t="str">
        <x:v>Conditional approvals</x:v>
      </x:c>
      <x:c r="J4" s="20" t="str">
        <x:v>Prohibited</x:v>
      </x:c>
      <x:c r="K4" s="20" t="str">
        <x:v>Unconditional approval share</x:v>
      </x:c>
      <x:c r="L4" s="20" t="str">
        <x:v>Conditional approval share</x:v>
      </x:c>
      <x:c r="M4" s="20" t="str">
        <x:v>Prohibition share</x:v>
      </x:c>
      <x:c r="N4" s="20" t="str">
        <x:v>Phase 1 count</x:v>
      </x:c>
      <x:c r="O4" s="20" t="str">
        <x:v>Complex count</x:v>
      </x:c>
      <x:c r="P4" s="20" t="str">
        <x:v>Phase 1 share</x:v>
      </x:c>
      <x:c r="Q4" s="20" t="str">
        <x:v>Complex share</x:v>
      </x:c>
      <x:c r="R4" s="20" t="str">
        <x:v>Structural break flag</x:v>
      </x:c>
      <x:c r="S4" s="20" t="str">
        <x:v>Macro / institutional caution</x:v>
      </x:c>
      <x:c r="T4" s="20" t="str">
        <x:v>Core Source_ID</x:v>
      </x:c>
      <x:c r="U4" s="20" t="str">
        <x:v>Phase Source_ID</x:v>
      </x:c>
    </x:row>
    <x:row r="5">
      <x:c r="A5" s="27" t="str">
        <x:v>1999/00</x:v>
      </x:c>
      <x:c r="B5" s="27" t="n">
        <x:v>331</x:v>
      </x:c>
      <x:c r="C5" s="30" t="str">
        <x:f>""</x:f>
      </x:c>
      <x:c r="D5" s="27" t="str">
        <x:v>Transitional</x:v>
      </x:c>
      <x:c r="E5" s="27" t="str">
        <x:v>NA</x:v>
      </x:c>
      <x:c r="F5" s="32" t="str">
        <x:f>""</x:f>
      </x:c>
      <x:c r="G5" s="27" t="n">
        <x:v>236</x:v>
      </x:c>
      <x:c r="H5" s="27" t="str">
        <x:v>NR</x:v>
      </x:c>
      <x:c r="I5" s="27" t="str">
        <x:v>NR</x:v>
      </x:c>
      <x:c r="J5" s="27" t="n">
        <x:v>5</x:v>
      </x:c>
      <x:c r="K5" s="30" t="str">
        <x:f>IF(AND(ISNUMBER(H5),ISNUMBER(G5),G5&gt;0),H5/G5,"")</x:f>
      </x:c>
      <x:c r="L5" s="30" t="str">
        <x:f>IF(AND(ISNUMBER(I5),ISNUMBER(G5),G5&gt;0),I5/G5,"")</x:f>
      </x:c>
      <x:c r="M5" s="30" t="n">
        <x:f>IF(AND(ISNUMBER(J5),ISNUMBER(G5),G5&gt;0),J5/G5,"")</x:f>
        <x:v>0.0211864406779661</x:v>
      </x:c>
      <x:c r="N5" s="27" t="str">
        <x:v>NR</x:v>
      </x:c>
      <x:c r="O5" s="27" t="str">
        <x:v>NR</x:v>
      </x:c>
      <x:c r="P5" s="30" t="str">
        <x:f>IF(COUNT(N5:O5)=2,N5/(N5+O5),"")</x:f>
      </x:c>
      <x:c r="Q5" s="30" t="str">
        <x:f>IF(COUNT(N5:O5)=2,O5/(N5+O5),"")</x:f>
      </x:c>
      <x:c r="R5" s="27" t="n">
        <x:v>1</x:v>
      </x:c>
      <x:c r="S5" s="27" t="str">
        <x:v>Transitional category; limited comparability.</x:v>
      </x:c>
      <x:c r="T5" s="27" t="str">
        <x:v>S001</x:v>
      </x:c>
      <x:c r="U5" s="27" t="str">
        <x:v>NR</x:v>
      </x:c>
    </x:row>
    <x:row r="6">
      <x:c r="A6" s="27" t="str">
        <x:v>2000/01</x:v>
      </x:c>
      <x:c r="B6" s="27" t="n">
        <x:v>407</x:v>
      </x:c>
      <x:c r="C6" s="30" t="n">
        <x:f>IF(AND(ISNUMBER(B6),ISNUMBER(B5)),B6/B5-1,"")</x:f>
        <x:v>0.2296072507552871</x:v>
      </x:c>
      <x:c r="D6" s="27" t="str">
        <x:v>Transitional</x:v>
      </x:c>
      <x:c r="E6" s="27" t="str">
        <x:v>NA</x:v>
      </x:c>
      <x:c r="F6" s="32" t="str">
        <x:f>""</x:f>
      </x:c>
      <x:c r="G6" s="27" t="n">
        <x:v>414</x:v>
      </x:c>
      <x:c r="H6" s="27" t="str">
        <x:v>NR</x:v>
      </x:c>
      <x:c r="I6" s="27" t="str">
        <x:v>NR</x:v>
      </x:c>
      <x:c r="J6" s="27" t="n">
        <x:v>3</x:v>
      </x:c>
      <x:c r="K6" s="30" t="str">
        <x:f>IF(AND(ISNUMBER(H6),ISNUMBER(G6),G6&gt;0),H6/G6,"")</x:f>
      </x:c>
      <x:c r="L6" s="30" t="str">
        <x:f>IF(AND(ISNUMBER(I6),ISNUMBER(G6),G6&gt;0),I6/G6,"")</x:f>
      </x:c>
      <x:c r="M6" s="30" t="n">
        <x:f>IF(AND(ISNUMBER(J6),ISNUMBER(G6),G6&gt;0),J6/G6,"")</x:f>
        <x:v>0.007246376811594203</x:v>
      </x:c>
      <x:c r="N6" s="27" t="str">
        <x:v>NR</x:v>
      </x:c>
      <x:c r="O6" s="27" t="str">
        <x:v>NR</x:v>
      </x:c>
      <x:c r="P6" s="30" t="str">
        <x:f>IF(COUNT(N6:O6)=2,N6/(N6+O6),"")</x:f>
      </x:c>
      <x:c r="Q6" s="30" t="str">
        <x:f>IF(COUNT(N6:O6)=2,O6/(N6+O6),"")</x:f>
      </x:c>
      <x:c r="R6" s="27" t="n">
        <x:v>1</x:v>
      </x:c>
      <x:c r="S6" s="27" t="str">
        <x:v>Small category began part-way through year.</x:v>
      </x:c>
      <x:c r="T6" s="27" t="str">
        <x:v>S001</x:v>
      </x:c>
      <x:c r="U6" s="27" t="str">
        <x:v>NR</x:v>
      </x:c>
    </x:row>
    <x:row r="7">
      <x:c r="A7" s="27" t="str">
        <x:v>2001/02</x:v>
      </x:c>
      <x:c r="B7" s="27" t="n">
        <x:v>220</x:v>
      </x:c>
      <x:c r="C7" s="30" t="n">
        <x:f>IF(AND(ISNUMBER(B7),ISNUMBER(B6)),B7/B6-1,"")</x:f>
        <x:v>-0.45945945945945943</x:v>
      </x:c>
      <x:c r="D7" s="27" t="str">
        <x:v>2001 threshold</x:v>
      </x:c>
      <x:c r="E7" s="27" t="n">
        <x:v>0</x:v>
      </x:c>
      <x:c r="F7" s="32" t="n">
        <x:f>B7/$B$7*100</x:f>
        <x:v>100</x:v>
      </x:c>
      <x:c r="G7" s="27" t="n">
        <x:v>225</x:v>
      </x:c>
      <x:c r="H7" s="27" t="n">
        <x:v>213</x:v>
      </x:c>
      <x:c r="I7" s="27" t="n">
        <x:v>0</x:v>
      </x:c>
      <x:c r="J7" s="27" t="n">
        <x:v>2</x:v>
      </x:c>
      <x:c r="K7" s="30" t="n">
        <x:f>IF(AND(ISNUMBER(H7),ISNUMBER(G7),G7&gt;0),H7/G7,"")</x:f>
        <x:v>0.9466666666666667</x:v>
      </x:c>
      <x:c r="L7" s="30" t="n">
        <x:f>IF(AND(ISNUMBER(I7),ISNUMBER(G7),G7&gt;0),I7/G7,"")</x:f>
        <x:v>0</x:v>
      </x:c>
      <x:c r="M7" s="30" t="n">
        <x:f>IF(AND(ISNUMBER(J7),ISNUMBER(G7),G7&gt;0),J7/G7,"")</x:f>
        <x:v>0.008888888888888889</x:v>
      </x:c>
      <x:c r="N7" s="27" t="str">
        <x:v>NR</x:v>
      </x:c>
      <x:c r="O7" s="27" t="str">
        <x:v>NR</x:v>
      </x:c>
      <x:c r="P7" s="30" t="str">
        <x:f>IF(COUNT(N7:O7)=2,N7/(N7+O7),"")</x:f>
      </x:c>
      <x:c r="Q7" s="30" t="str">
        <x:f>IF(COUNT(N7:O7)=2,O7/(N7+O7),"")</x:f>
      </x:c>
      <x:c r="R7" s="27" t="n">
        <x:v>1</x:v>
      </x:c>
      <x:c r="S7" s="27" t="str"/>
      <x:c r="T7" s="27" t="str">
        <x:v>S002</x:v>
      </x:c>
      <x:c r="U7" s="27" t="str">
        <x:v>NR</x:v>
      </x:c>
    </x:row>
    <x:row r="8">
      <x:c r="A8" s="27" t="str">
        <x:v>2002/03</x:v>
      </x:c>
      <x:c r="B8" s="27" t="n">
        <x:v>211</x:v>
      </x:c>
      <x:c r="C8" s="30" t="n">
        <x:f>IF(AND(ISNUMBER(B8),ISNUMBER(B7)),B8/B7-1,"")</x:f>
        <x:v>-0.040909090909090895</x:v>
      </x:c>
      <x:c r="D8" s="27" t="str">
        <x:v>2001 threshold</x:v>
      </x:c>
      <x:c r="E8" s="27" t="n">
        <x:v>1</x:v>
      </x:c>
      <x:c r="F8" s="32" t="n">
        <x:f>B8/$B$7*100</x:f>
        <x:v>95.9090909090909</x:v>
      </x:c>
      <x:c r="G8" s="27" t="n">
        <x:v>202</x:v>
      </x:c>
      <x:c r="H8" s="27" t="n">
        <x:v>194</x:v>
      </x:c>
      <x:c r="I8" s="27" t="n">
        <x:v>5</x:v>
      </x:c>
      <x:c r="J8" s="27" t="n">
        <x:v>1</x:v>
      </x:c>
      <x:c r="K8" s="30" t="n">
        <x:f>IF(AND(ISNUMBER(H8),ISNUMBER(G8),G8&gt;0),H8/G8,"")</x:f>
        <x:v>0.9603960396039604</x:v>
      </x:c>
      <x:c r="L8" s="30" t="n">
        <x:f>IF(AND(ISNUMBER(I8),ISNUMBER(G8),G8&gt;0),I8/G8,"")</x:f>
        <x:v>0.024752475247524754</x:v>
      </x:c>
      <x:c r="M8" s="30" t="n">
        <x:f>IF(AND(ISNUMBER(J8),ISNUMBER(G8),G8&gt;0),J8/G8,"")</x:f>
        <x:v>0.0049504950495049506</x:v>
      </x:c>
      <x:c r="N8" s="27" t="str">
        <x:v>NR</x:v>
      </x:c>
      <x:c r="O8" s="27" t="str">
        <x:v>NR</x:v>
      </x:c>
      <x:c r="P8" s="30" t="str">
        <x:f>IF(COUNT(N8:O8)=2,N8/(N8+O8),"")</x:f>
      </x:c>
      <x:c r="Q8" s="30" t="str">
        <x:f>IF(COUNT(N8:O8)=2,O8/(N8+O8),"")</x:f>
      </x:c>
      <x:c r="R8" s="27" t="n">
        <x:v>0</x:v>
      </x:c>
      <x:c r="S8" s="27" t="str"/>
      <x:c r="T8" s="27" t="str">
        <x:v>S002</x:v>
      </x:c>
      <x:c r="U8" s="27" t="str">
        <x:v>NR</x:v>
      </x:c>
    </x:row>
    <x:row r="9">
      <x:c r="A9" s="27" t="str">
        <x:v>2003/04</x:v>
      </x:c>
      <x:c r="B9" s="27" t="n">
        <x:v>284</x:v>
      </x:c>
      <x:c r="C9" s="30" t="n">
        <x:f>IF(AND(ISNUMBER(B9),ISNUMBER(B8)),B9/B8-1,"")</x:f>
        <x:v>0.34597156398104256</x:v>
      </x:c>
      <x:c r="D9" s="27" t="str">
        <x:v>2001 threshold</x:v>
      </x:c>
      <x:c r="E9" s="27" t="n">
        <x:v>2</x:v>
      </x:c>
      <x:c r="F9" s="32" t="n">
        <x:f>B9/$B$7*100</x:f>
        <x:v>129.0909090909091</x:v>
      </x:c>
      <x:c r="G9" s="27" t="n">
        <x:v>278</x:v>
      </x:c>
      <x:c r="H9" s="27" t="n">
        <x:v>262</x:v>
      </x:c>
      <x:c r="I9" s="27" t="n">
        <x:v>7</x:v>
      </x:c>
      <x:c r="J9" s="27" t="n">
        <x:v>1</x:v>
      </x:c>
      <x:c r="K9" s="30" t="n">
        <x:f>IF(AND(ISNUMBER(H9),ISNUMBER(G9),G9&gt;0),H9/G9,"")</x:f>
        <x:v>0.9424460431654677</x:v>
      </x:c>
      <x:c r="L9" s="30" t="n">
        <x:f>IF(AND(ISNUMBER(I9),ISNUMBER(G9),G9&gt;0),I9/G9,"")</x:f>
        <x:v>0.025179856115107913</x:v>
      </x:c>
      <x:c r="M9" s="30" t="n">
        <x:f>IF(AND(ISNUMBER(J9),ISNUMBER(G9),G9&gt;0),J9/G9,"")</x:f>
        <x:v>0.0035971223021582736</x:v>
      </x:c>
      <x:c r="N9" s="27" t="str">
        <x:v>NR</x:v>
      </x:c>
      <x:c r="O9" s="27" t="str">
        <x:v>NR</x:v>
      </x:c>
      <x:c r="P9" s="30" t="str">
        <x:f>IF(COUNT(N9:O9)=2,N9/(N9+O9),"")</x:f>
      </x:c>
      <x:c r="Q9" s="30" t="str">
        <x:f>IF(COUNT(N9:O9)=2,O9/(N9+O9),"")</x:f>
      </x:c>
      <x:c r="R9" s="27" t="n">
        <x:v>0</x:v>
      </x:c>
      <x:c r="S9" s="27" t="str"/>
      <x:c r="T9" s="27" t="str">
        <x:v>S003</x:v>
      </x:c>
      <x:c r="U9" s="27" t="str">
        <x:v>NR</x:v>
      </x:c>
    </x:row>
    <x:row r="10">
      <x:c r="A10" s="27" t="str">
        <x:v>2004/05</x:v>
      </x:c>
      <x:c r="B10" s="27" t="n">
        <x:v>311</x:v>
      </x:c>
      <x:c r="C10" s="30" t="n">
        <x:f>IF(AND(ISNUMBER(B10),ISNUMBER(B9)),B10/B9-1,"")</x:f>
        <x:v>0.09507042253521125</x:v>
      </x:c>
      <x:c r="D10" s="27" t="str">
        <x:v>2001 threshold</x:v>
      </x:c>
      <x:c r="E10" s="27" t="n">
        <x:v>3</x:v>
      </x:c>
      <x:c r="F10" s="32" t="n">
        <x:f>B10/$B$7*100</x:f>
        <x:v>141.36363636363635</x:v>
      </x:c>
      <x:c r="G10" s="27" t="n">
        <x:v>301</x:v>
      </x:c>
      <x:c r="H10" s="27" t="n">
        <x:v>285</x:v>
      </x:c>
      <x:c r="I10" s="27" t="n">
        <x:v>9</x:v>
      </x:c>
      <x:c r="J10" s="27" t="n">
        <x:v>4</x:v>
      </x:c>
      <x:c r="K10" s="30" t="n">
        <x:f>IF(AND(ISNUMBER(H10),ISNUMBER(G10),G10&gt;0),H10/G10,"")</x:f>
        <x:v>0.946843853820598</x:v>
      </x:c>
      <x:c r="L10" s="30" t="n">
        <x:f>IF(AND(ISNUMBER(I10),ISNUMBER(G10),G10&gt;0),I10/G10,"")</x:f>
        <x:v>0.029900332225913623</x:v>
      </x:c>
      <x:c r="M10" s="30" t="n">
        <x:f>IF(AND(ISNUMBER(J10),ISNUMBER(G10),G10&gt;0),J10/G10,"")</x:f>
        <x:v>0.013289036544850499</x:v>
      </x:c>
      <x:c r="N10" s="27" t="str">
        <x:v>NR</x:v>
      </x:c>
      <x:c r="O10" s="27" t="str">
        <x:v>NR</x:v>
      </x:c>
      <x:c r="P10" s="30" t="str">
        <x:f>IF(COUNT(N10:O10)=2,N10/(N10+O10),"")</x:f>
      </x:c>
      <x:c r="Q10" s="30" t="str">
        <x:f>IF(COUNT(N10:O10)=2,O10/(N10+O10),"")</x:f>
      </x:c>
      <x:c r="R10" s="27" t="n">
        <x:v>0</x:v>
      </x:c>
      <x:c r="S10" s="27" t="str"/>
      <x:c r="T10" s="27" t="str">
        <x:v>S004</x:v>
      </x:c>
      <x:c r="U10" s="27" t="str">
        <x:v>NR</x:v>
      </x:c>
    </x:row>
    <x:row r="11">
      <x:c r="A11" s="27" t="str">
        <x:v>2005/06</x:v>
      </x:c>
      <x:c r="B11" s="27" t="n">
        <x:v>408</x:v>
      </x:c>
      <x:c r="C11" s="30" t="n">
        <x:f>IF(AND(ISNUMBER(B11),ISNUMBER(B10)),B11/B10-1,"")</x:f>
        <x:v>0.31189710610932475</x:v>
      </x:c>
      <x:c r="D11" s="27" t="str">
        <x:v>2001 threshold</x:v>
      </x:c>
      <x:c r="E11" s="27" t="n">
        <x:v>4</x:v>
      </x:c>
      <x:c r="F11" s="32" t="n">
        <x:f>B11/$B$7*100</x:f>
        <x:v>185.45454545454544</x:v>
      </x:c>
      <x:c r="G11" s="27" t="n">
        <x:v>394</x:v>
      </x:c>
      <x:c r="H11" s="27" t="n">
        <x:v>376</x:v>
      </x:c>
      <x:c r="I11" s="27" t="n">
        <x:v>14</x:v>
      </x:c>
      <x:c r="J11" s="27" t="n">
        <x:v>4</x:v>
      </x:c>
      <x:c r="K11" s="30" t="n">
        <x:f>IF(AND(ISNUMBER(H11),ISNUMBER(G11),G11&gt;0),H11/G11,"")</x:f>
        <x:v>0.9543147208121827</x:v>
      </x:c>
      <x:c r="L11" s="30" t="n">
        <x:f>IF(AND(ISNUMBER(I11),ISNUMBER(G11),G11&gt;0),I11/G11,"")</x:f>
        <x:v>0.03553299492385787</x:v>
      </x:c>
      <x:c r="M11" s="30" t="n">
        <x:f>IF(AND(ISNUMBER(J11),ISNUMBER(G11),G11&gt;0),J11/G11,"")</x:f>
        <x:v>0.01015228426395939</x:v>
      </x:c>
      <x:c r="N11" s="27" t="str">
        <x:v>NR</x:v>
      </x:c>
      <x:c r="O11" s="27" t="str">
        <x:v>NR</x:v>
      </x:c>
      <x:c r="P11" s="30" t="str">
        <x:f>IF(COUNT(N11:O11)=2,N11/(N11+O11),"")</x:f>
      </x:c>
      <x:c r="Q11" s="30" t="str">
        <x:f>IF(COUNT(N11:O11)=2,O11/(N11+O11),"")</x:f>
      </x:c>
      <x:c r="R11" s="27" t="n">
        <x:v>0</x:v>
      </x:c>
      <x:c r="S11" s="27" t="str"/>
      <x:c r="T11" s="27" t="str">
        <x:v>S005</x:v>
      </x:c>
      <x:c r="U11" s="27" t="str">
        <x:v>NR</x:v>
      </x:c>
    </x:row>
    <x:row r="12">
      <x:c r="A12" s="27" t="str">
        <x:v>2006/07</x:v>
      </x:c>
      <x:c r="B12" s="27" t="n">
        <x:v>413</x:v>
      </x:c>
      <x:c r="C12" s="30" t="n">
        <x:f>IF(AND(ISNUMBER(B12),ISNUMBER(B11)),B12/B11-1,"")</x:f>
        <x:v>0.01225490196078427</x:v>
      </x:c>
      <x:c r="D12" s="27" t="str">
        <x:v>2001 threshold</x:v>
      </x:c>
      <x:c r="E12" s="27" t="n">
        <x:v>5</x:v>
      </x:c>
      <x:c r="F12" s="32" t="n">
        <x:f>B12/$B$7*100</x:f>
        <x:v>187.72727272727272</x:v>
      </x:c>
      <x:c r="G12" s="27" t="n">
        <x:v>410</x:v>
      </x:c>
      <x:c r="H12" s="27" t="n">
        <x:v>386</x:v>
      </x:c>
      <x:c r="I12" s="27" t="n">
        <x:v>7</x:v>
      </x:c>
      <x:c r="J12" s="27" t="n">
        <x:v>4</x:v>
      </x:c>
      <x:c r="K12" s="30" t="n">
        <x:f>IF(AND(ISNUMBER(H12),ISNUMBER(G12),G12&gt;0),H12/G12,"")</x:f>
        <x:v>0.9414634146341463</x:v>
      </x:c>
      <x:c r="L12" s="30" t="n">
        <x:f>IF(AND(ISNUMBER(I12),ISNUMBER(G12),G12&gt;0),I12/G12,"")</x:f>
        <x:v>0.01707317073170732</x:v>
      </x:c>
      <x:c r="M12" s="30" t="n">
        <x:f>IF(AND(ISNUMBER(J12),ISNUMBER(G12),G12&gt;0),J12/G12,"")</x:f>
        <x:v>0.00975609756097561</x:v>
      </x:c>
      <x:c r="N12" s="27" t="str">
        <x:v>NR</x:v>
      </x:c>
      <x:c r="O12" s="27" t="str">
        <x:v>NR</x:v>
      </x:c>
      <x:c r="P12" s="30" t="str">
        <x:f>IF(COUNT(N12:O12)=2,N12/(N12+O12),"")</x:f>
      </x:c>
      <x:c r="Q12" s="30" t="str">
        <x:f>IF(COUNT(N12:O12)=2,O12/(N12+O12),"")</x:f>
      </x:c>
      <x:c r="R12" s="27" t="n">
        <x:v>0</x:v>
      </x:c>
      <x:c r="S12" s="27" t="str"/>
      <x:c r="T12" s="27" t="str">
        <x:v>S006</x:v>
      </x:c>
      <x:c r="U12" s="27" t="str">
        <x:v>NR</x:v>
      </x:c>
    </x:row>
    <x:row r="13">
      <x:c r="A13" s="27" t="str">
        <x:v>2007/08</x:v>
      </x:c>
      <x:c r="B13" s="27" t="n">
        <x:v>513</x:v>
      </x:c>
      <x:c r="C13" s="30" t="n">
        <x:f>IF(AND(ISNUMBER(B13),ISNUMBER(B12)),B13/B12-1,"")</x:f>
        <x:v>0.24213075060532696</x:v>
      </x:c>
      <x:c r="D13" s="27" t="str">
        <x:v>2001 threshold</x:v>
      </x:c>
      <x:c r="E13" s="27" t="n">
        <x:v>6</x:v>
      </x:c>
      <x:c r="F13" s="32" t="n">
        <x:f>B13/$B$7*100</x:f>
        <x:v>233.1818181818182</x:v>
      </x:c>
      <x:c r="G13" s="27" t="n">
        <x:v>480</x:v>
      </x:c>
      <x:c r="H13" s="27" t="n">
        <x:v>455</x:v>
      </x:c>
      <x:c r="I13" s="27" t="n">
        <x:v>11</x:v>
      </x:c>
      <x:c r="J13" s="27" t="n">
        <x:v>3</x:v>
      </x:c>
      <x:c r="K13" s="30" t="n">
        <x:f>IF(AND(ISNUMBER(H13),ISNUMBER(G13),G13&gt;0),H13/G13,"")</x:f>
        <x:v>0.9479166666666666</x:v>
      </x:c>
      <x:c r="L13" s="30" t="n">
        <x:f>IF(AND(ISNUMBER(I13),ISNUMBER(G13),G13&gt;0),I13/G13,"")</x:f>
        <x:v>0.022916666666666665</x:v>
      </x:c>
      <x:c r="M13" s="30" t="n">
        <x:f>IF(AND(ISNUMBER(J13),ISNUMBER(G13),G13&gt;0),J13/G13,"")</x:f>
        <x:v>0.00625</x:v>
      </x:c>
      <x:c r="N13" s="27" t="n">
        <x:v>384</x:v>
      </x:c>
      <x:c r="O13" s="27" t="n">
        <x:v>85</x:v>
      </x:c>
      <x:c r="P13" s="30" t="n">
        <x:f>IF(COUNT(N13:O13)=2,N13/(N13+O13),"")</x:f>
        <x:v>0.8187633262260128</x:v>
      </x:c>
      <x:c r="Q13" s="30" t="n">
        <x:f>IF(COUNT(N13:O13)=2,O13/(N13+O13),"")</x:f>
        <x:v>0.1812366737739872</x:v>
      </x:c>
      <x:c r="R13" s="27" t="n">
        <x:v>0</x:v>
      </x:c>
      <x:c r="S13" s="27" t="str"/>
      <x:c r="T13" s="27" t="str">
        <x:v>S007</x:v>
      </x:c>
      <x:c r="U13" s="27" t="str">
        <x:v>S011</x:v>
      </x:c>
    </x:row>
    <x:row r="14">
      <x:c r="A14" s="27" t="str">
        <x:v>2008/09</x:v>
      </x:c>
      <x:c r="B14" s="27" t="n">
        <x:v>415</x:v>
      </x:c>
      <x:c r="C14" s="30" t="n">
        <x:f>IF(AND(ISNUMBER(B14),ISNUMBER(B13)),B14/B13-1,"")</x:f>
        <x:v>-0.19103313840155944</x:v>
      </x:c>
      <x:c r="D14" s="27" t="str">
        <x:v>2001 threshold</x:v>
      </x:c>
      <x:c r="E14" s="27" t="n">
        <x:v>7</x:v>
      </x:c>
      <x:c r="F14" s="32" t="n">
        <x:f>B14/$B$7*100</x:f>
        <x:v>188.63636363636365</x:v>
      </x:c>
      <x:c r="G14" s="27" t="n">
        <x:v>458</x:v>
      </x:c>
      <x:c r="H14" s="27" t="n">
        <x:v>424</x:v>
      </x:c>
      <x:c r="I14" s="27" t="n">
        <x:v>9</x:v>
      </x:c>
      <x:c r="J14" s="27" t="n">
        <x:v>8</x:v>
      </x:c>
      <x:c r="K14" s="30" t="n">
        <x:f>IF(AND(ISNUMBER(H14),ISNUMBER(G14),G14&gt;0),H14/G14,"")</x:f>
        <x:v>0.925764192139738</x:v>
      </x:c>
      <x:c r="L14" s="30" t="n">
        <x:f>IF(AND(ISNUMBER(I14),ISNUMBER(G14),G14&gt;0),I14/G14,"")</x:f>
        <x:v>0.019650655021834062</x:v>
      </x:c>
      <x:c r="M14" s="30" t="n">
        <x:f>IF(AND(ISNUMBER(J14),ISNUMBER(G14),G14&gt;0),J14/G14,"")</x:f>
        <x:v>0.017467248908296942</x:v>
      </x:c>
      <x:c r="N14" s="27" t="n">
        <x:v>342</x:v>
      </x:c>
      <x:c r="O14" s="27" t="n">
        <x:v>99</x:v>
      </x:c>
      <x:c r="P14" s="30" t="n">
        <x:f>IF(COUNT(N14:O14)=2,N14/(N14+O14),"")</x:f>
        <x:v>0.7755102040816326</x:v>
      </x:c>
      <x:c r="Q14" s="30" t="n">
        <x:f>IF(COUNT(N14:O14)=2,O14/(N14+O14),"")</x:f>
        <x:v>0.22448979591836735</x:v>
      </x:c>
      <x:c r="R14" s="27" t="n">
        <x:v>0</x:v>
      </x:c>
      <x:c r="S14" s="27" t="str">
        <x:v>414 vs 415 notification discrepancy before reset.</x:v>
      </x:c>
      <x:c r="T14" s="27" t="str">
        <x:v>S009</x:v>
      </x:c>
      <x:c r="U14" s="27" t="str">
        <x:v>S011</x:v>
      </x:c>
    </x:row>
    <x:row r="15">
      <x:c r="A15" s="27" t="str">
        <x:v>2009/10</x:v>
      </x:c>
      <x:c r="B15" s="27" t="n">
        <x:v>190</x:v>
      </x:c>
      <x:c r="C15" s="30" t="n">
        <x:f>IF(AND(ISNUMBER(B15),ISNUMBER(B14)),B15/B14-1,"")</x:f>
        <x:v>-0.5421686746987953</x:v>
      </x:c>
      <x:c r="D15" s="27" t="str">
        <x:v>2009 threshold</x:v>
      </x:c>
      <x:c r="E15" s="27" t="n">
        <x:v>0</x:v>
      </x:c>
      <x:c r="F15" s="32" t="n">
        <x:f>B15/$B$15*100</x:f>
        <x:v>100</x:v>
      </x:c>
      <x:c r="G15" s="27" t="n">
        <x:v>208</x:v>
      </x:c>
      <x:c r="H15" s="27" t="n">
        <x:v>190</x:v>
      </x:c>
      <x:c r="I15" s="27" t="n">
        <x:v>8</x:v>
      </x:c>
      <x:c r="J15" s="27" t="n">
        <x:v>1</x:v>
      </x:c>
      <x:c r="K15" s="30" t="n">
        <x:f>IF(AND(ISNUMBER(H15),ISNUMBER(G15),G15&gt;0),H15/G15,"")</x:f>
        <x:v>0.9134615384615384</x:v>
      </x:c>
      <x:c r="L15" s="30" t="n">
        <x:f>IF(AND(ISNUMBER(I15),ISNUMBER(G15),G15&gt;0),I15/G15,"")</x:f>
        <x:v>0.038461538461538464</x:v>
      </x:c>
      <x:c r="M15" s="30" t="n">
        <x:f>IF(AND(ISNUMBER(J15),ISNUMBER(G15),G15&gt;0),J15/G15,"")</x:f>
        <x:v>0.004807692307692308</x:v>
      </x:c>
      <x:c r="N15" s="27" t="n">
        <x:v>123</x:v>
      </x:c>
      <x:c r="O15" s="27" t="n">
        <x:v>76</x:v>
      </x:c>
      <x:c r="P15" s="30" t="n">
        <x:f>IF(COUNT(N15:O15)=2,N15/(N15+O15),"")</x:f>
        <x:v>0.6180904522613065</x:v>
      </x:c>
      <x:c r="Q15" s="30" t="n">
        <x:f>IF(COUNT(N15:O15)=2,O15/(N15+O15),"")</x:f>
        <x:v>0.38190954773869346</x:v>
      </x:c>
      <x:c r="R15" s="27" t="n">
        <x:v>1</x:v>
      </x:c>
      <x:c r="S15" s="27" t="str">
        <x:v>Threshold reset coincides with global recession.</x:v>
      </x:c>
      <x:c r="T15" s="27" t="str">
        <x:v>S009</x:v>
      </x:c>
      <x:c r="U15" s="27" t="str">
        <x:v>S011</x:v>
      </x:c>
    </x:row>
    <x:row r="16">
      <x:c r="A16" s="27" t="str">
        <x:v>2010/11</x:v>
      </x:c>
      <x:c r="B16" s="27" t="n">
        <x:v>229</x:v>
      </x:c>
      <x:c r="C16" s="30" t="n">
        <x:f>IF(AND(ISNUMBER(B16),ISNUMBER(B15)),B16/B15-1,"")</x:f>
        <x:v>0.20526315789473681</x:v>
      </x:c>
      <x:c r="D16" s="27" t="str">
        <x:v>2009 threshold</x:v>
      </x:c>
      <x:c r="E16" s="27" t="n">
        <x:v>1</x:v>
      </x:c>
      <x:c r="F16" s="32" t="n">
        <x:f>B16/$B$15*100</x:f>
        <x:v>120.52631578947368</x:v>
      </x:c>
      <x:c r="G16" s="27" t="n">
        <x:v>220</x:v>
      </x:c>
      <x:c r="H16" s="27" t="n">
        <x:v>200</x:v>
      </x:c>
      <x:c r="I16" s="27" t="n">
        <x:v>14</x:v>
      </x:c>
      <x:c r="J16" s="27" t="n">
        <x:v>2</x:v>
      </x:c>
      <x:c r="K16" s="30" t="n">
        <x:f>IF(AND(ISNUMBER(H16),ISNUMBER(G16),G16&gt;0),H16/G16,"")</x:f>
        <x:v>0.9090909090909091</x:v>
      </x:c>
      <x:c r="L16" s="30" t="n">
        <x:f>IF(AND(ISNUMBER(I16),ISNUMBER(G16),G16&gt;0),I16/G16,"")</x:f>
        <x:v>0.06363636363636363</x:v>
      </x:c>
      <x:c r="M16" s="30" t="n">
        <x:f>IF(AND(ISNUMBER(J16),ISNUMBER(G16),G16&gt;0),J16/G16,"")</x:f>
        <x:v>0.00909090909090909</x:v>
      </x:c>
      <x:c r="N16" s="27" t="n">
        <x:v>142</x:v>
      </x:c>
      <x:c r="O16" s="27" t="n">
        <x:v>74</x:v>
      </x:c>
      <x:c r="P16" s="30" t="n">
        <x:f>IF(COUNT(N16:O16)=2,N16/(N16+O16),"")</x:f>
        <x:v>0.6574074074074074</x:v>
      </x:c>
      <x:c r="Q16" s="30" t="n">
        <x:f>IF(COUNT(N16:O16)=2,O16/(N16+O16),"")</x:f>
        <x:v>0.3425925925925926</x:v>
      </x:c>
      <x:c r="R16" s="27" t="n">
        <x:v>0</x:v>
      </x:c>
      <x:c r="S16" s="27" t="str">
        <x:v>Finalised-size components sum 219 vs total 220.</x:v>
      </x:c>
      <x:c r="T16" s="27" t="str">
        <x:v>S011</x:v>
      </x:c>
      <x:c r="U16" s="27" t="str">
        <x:v>S011</x:v>
      </x:c>
    </x:row>
    <x:row r="17">
      <x:c r="A17" s="27" t="str">
        <x:v>2011/12</x:v>
      </x:c>
      <x:c r="B17" s="27" t="n">
        <x:v>291</x:v>
      </x:c>
      <x:c r="C17" s="30" t="n">
        <x:f>IF(AND(ISNUMBER(B17),ISNUMBER(B16)),B17/B16-1,"")</x:f>
        <x:v>0.2707423580786026</x:v>
      </x:c>
      <x:c r="D17" s="27" t="str">
        <x:v>2009 threshold</x:v>
      </x:c>
      <x:c r="E17" s="27" t="n">
        <x:v>2</x:v>
      </x:c>
      <x:c r="F17" s="32" t="n">
        <x:f>B17/$B$15*100</x:f>
        <x:v>153.1578947368421</x:v>
      </x:c>
      <x:c r="G17" s="27" t="n">
        <x:v>282</x:v>
      </x:c>
      <x:c r="H17" s="27" t="n">
        <x:v>234</x:v>
      </x:c>
      <x:c r="I17" s="27" t="n">
        <x:v>33</x:v>
      </x:c>
      <x:c r="J17" s="27" t="n">
        <x:v>8</x:v>
      </x:c>
      <x:c r="K17" s="30" t="n">
        <x:f>IF(AND(ISNUMBER(H17),ISNUMBER(G17),G17&gt;0),H17/G17,"")</x:f>
        <x:v>0.8297872340425532</x:v>
      </x:c>
      <x:c r="L17" s="30" t="n">
        <x:f>IF(AND(ISNUMBER(I17),ISNUMBER(G17),G17&gt;0),I17/G17,"")</x:f>
        <x:v>0.11702127659574468</x:v>
      </x:c>
      <x:c r="M17" s="30" t="n">
        <x:f>IF(AND(ISNUMBER(J17),ISNUMBER(G17),G17&gt;0),J17/G17,"")</x:f>
        <x:v>0.028368794326241134</x:v>
      </x:c>
      <x:c r="N17" s="27" t="n">
        <x:v>182</x:v>
      </x:c>
      <x:c r="O17" s="27" t="n">
        <x:v>93</x:v>
      </x:c>
      <x:c r="P17" s="30" t="n">
        <x:f>IF(COUNT(N17:O17)=2,N17/(N17+O17),"")</x:f>
        <x:v>0.6618181818181819</x:v>
      </x:c>
      <x:c r="Q17" s="30" t="n">
        <x:f>IF(COUNT(N17:O17)=2,O17/(N17+O17),"")</x:f>
        <x:v>0.3381818181818182</x:v>
      </x:c>
      <x:c r="R17" s="27" t="n">
        <x:v>0</x:v>
      </x:c>
      <x:c r="S17" s="27" t="str">
        <x:v>Later tables restate finalised/residual by +1.</x:v>
      </x:c>
      <x:c r="T17" s="27" t="str">
        <x:v>S011</x:v>
      </x:c>
      <x:c r="U17" s="27" t="str">
        <x:v>S011</x:v>
      </x:c>
    </x:row>
    <x:row r="18">
      <x:c r="A18" s="27" t="str">
        <x:v>2012/13</x:v>
      </x:c>
      <x:c r="B18" s="27" t="n">
        <x:v>324</x:v>
      </x:c>
      <x:c r="C18" s="30" t="n">
        <x:f>IF(AND(ISNUMBER(B18),ISNUMBER(B17)),B18/B17-1,"")</x:f>
        <x:v>0.11340206185567014</x:v>
      </x:c>
      <x:c r="D18" s="27" t="str">
        <x:v>2009 threshold</x:v>
      </x:c>
      <x:c r="E18" s="27" t="n">
        <x:v>3</x:v>
      </x:c>
      <x:c r="F18" s="32" t="n">
        <x:f>B18/$B$15*100</x:f>
        <x:v>170.52631578947367</x:v>
      </x:c>
      <x:c r="G18" s="27" t="n">
        <x:v>327</x:v>
      </x:c>
      <x:c r="H18" s="27" t="n">
        <x:v>278</x:v>
      </x:c>
      <x:c r="I18" s="27" t="n">
        <x:v>37</x:v>
      </x:c>
      <x:c r="J18" s="27" t="n">
        <x:v>0</x:v>
      </x:c>
      <x:c r="K18" s="30" t="n">
        <x:f>IF(AND(ISNUMBER(H18),ISNUMBER(G18),G18&gt;0),H18/G18,"")</x:f>
        <x:v>0.8501529051987767</x:v>
      </x:c>
      <x:c r="L18" s="30" t="n">
        <x:f>IF(AND(ISNUMBER(I18),ISNUMBER(G18),G18&gt;0),I18/G18,"")</x:f>
        <x:v>0.11314984709480122</x:v>
      </x:c>
      <x:c r="M18" s="30" t="n">
        <x:f>IF(AND(ISNUMBER(J18),ISNUMBER(G18),G18&gt;0),J18/G18,"")</x:f>
        <x:v>0</x:v>
      </x:c>
      <x:c r="N18" s="27" t="str">
        <x:v>NR</x:v>
      </x:c>
      <x:c r="O18" s="27" t="str">
        <x:v>NR</x:v>
      </x:c>
      <x:c r="P18" s="30" t="str">
        <x:f>IF(COUNT(N18:O18)=2,N18/(N18+O18),"")</x:f>
      </x:c>
      <x:c r="Q18" s="30" t="str">
        <x:f>IF(COUNT(N18:O18)=2,O18/(N18+O18),"")</x:f>
      </x:c>
      <x:c r="R18" s="27" t="n">
        <x:v>0</x:v>
      </x:c>
      <x:c r="S18" s="27" t="str"/>
      <x:c r="T18" s="27" t="str">
        <x:v>S012</x:v>
      </x:c>
      <x:c r="U18" s="27" t="str">
        <x:v>S012</x:v>
      </x:c>
    </x:row>
    <x:row r="19">
      <x:c r="A19" s="27" t="str">
        <x:v>2013/14</x:v>
      </x:c>
      <x:c r="B19" s="27" t="n">
        <x:v>320</x:v>
      </x:c>
      <x:c r="C19" s="30" t="n">
        <x:f>IF(AND(ISNUMBER(B19),ISNUMBER(B18)),B19/B18-1,"")</x:f>
        <x:v>-0.012345679012345734</x:v>
      </x:c>
      <x:c r="D19" s="27" t="str">
        <x:v>2009 threshold</x:v>
      </x:c>
      <x:c r="E19" s="27" t="n">
        <x:v>4</x:v>
      </x:c>
      <x:c r="F19" s="32" t="n">
        <x:f>B19/$B$15*100</x:f>
        <x:v>168.42105263157893</x:v>
      </x:c>
      <x:c r="G19" s="27" t="n">
        <x:v>329</x:v>
      </x:c>
      <x:c r="H19" s="27" t="n">
        <x:v>302</x:v>
      </x:c>
      <x:c r="I19" s="27" t="n">
        <x:v>22</x:v>
      </x:c>
      <x:c r="J19" s="27" t="n">
        <x:v>1</x:v>
      </x:c>
      <x:c r="K19" s="30" t="n">
        <x:f>IF(AND(ISNUMBER(H19),ISNUMBER(G19),G19&gt;0),H19/G19,"")</x:f>
        <x:v>0.9179331306990881</x:v>
      </x:c>
      <x:c r="L19" s="30" t="n">
        <x:f>IF(AND(ISNUMBER(I19),ISNUMBER(G19),G19&gt;0),I19/G19,"")</x:f>
        <x:v>0.0668693009118541</x:v>
      </x:c>
      <x:c r="M19" s="30" t="n">
        <x:f>IF(AND(ISNUMBER(J19),ISNUMBER(G19),G19&gt;0),J19/G19,"")</x:f>
        <x:v>0.00303951367781155</x:v>
      </x:c>
      <x:c r="N19" s="27" t="n">
        <x:v>191</x:v>
      </x:c>
      <x:c r="O19" s="27" t="n">
        <x:v>134</x:v>
      </x:c>
      <x:c r="P19" s="30" t="n">
        <x:f>IF(COUNT(N19:O19)=2,N19/(N19+O19),"")</x:f>
        <x:v>0.5876923076923077</x:v>
      </x:c>
      <x:c r="Q19" s="30" t="n">
        <x:f>IF(COUNT(N19:O19)=2,O19/(N19+O19),"")</x:f>
        <x:v>0.4123076923076923</x:v>
      </x:c>
      <x:c r="R19" s="27" t="n">
        <x:v>0</x:v>
      </x:c>
      <x:c r="S19" s="27" t="str"/>
      <x:c r="T19" s="27" t="str">
        <x:v>S013</x:v>
      </x:c>
      <x:c r="U19" s="27" t="str">
        <x:v>S013</x:v>
      </x:c>
    </x:row>
    <x:row r="20">
      <x:c r="A20" s="27" t="str">
        <x:v>2014/15</x:v>
      </x:c>
      <x:c r="B20" s="27" t="n">
        <x:v>395</x:v>
      </x:c>
      <x:c r="C20" s="30" t="n">
        <x:f>IF(AND(ISNUMBER(B20),ISNUMBER(B19)),B20/B19-1,"")</x:f>
        <x:v>0.234375</x:v>
      </x:c>
      <x:c r="D20" s="27" t="str">
        <x:v>2009 threshold</x:v>
      </x:c>
      <x:c r="E20" s="27" t="n">
        <x:v>5</x:v>
      </x:c>
      <x:c r="F20" s="32" t="n">
        <x:f>B20/$B$15*100</x:f>
        <x:v>207.89473684210526</x:v>
      </x:c>
      <x:c r="G20" s="27" t="n">
        <x:v>375</x:v>
      </x:c>
      <x:c r="H20" s="27" t="n">
        <x:v>321</x:v>
      </x:c>
      <x:c r="I20" s="27" t="n">
        <x:v>43</x:v>
      </x:c>
      <x:c r="J20" s="27" t="n">
        <x:v>5</x:v>
      </x:c>
      <x:c r="K20" s="30" t="n">
        <x:f>IF(AND(ISNUMBER(H20),ISNUMBER(G20),G20&gt;0),H20/G20,"")</x:f>
        <x:v>0.856</x:v>
      </x:c>
      <x:c r="L20" s="30" t="n">
        <x:f>IF(AND(ISNUMBER(I20),ISNUMBER(G20),G20&gt;0),I20/G20,"")</x:f>
        <x:v>0.11466666666666667</x:v>
      </x:c>
      <x:c r="M20" s="30" t="n">
        <x:f>IF(AND(ISNUMBER(J20),ISNUMBER(G20),G20&gt;0),J20/G20,"")</x:f>
        <x:v>0.013333333333333334</x:v>
      </x:c>
      <x:c r="N20" s="27" t="n">
        <x:v>220</x:v>
      </x:c>
      <x:c r="O20" s="27" t="n">
        <x:v>149</x:v>
      </x:c>
      <x:c r="P20" s="30" t="n">
        <x:f>IF(COUNT(N20:O20)=2,N20/(N20+O20),"")</x:f>
        <x:v>0.5962059620596206</x:v>
      </x:c>
      <x:c r="Q20" s="30" t="n">
        <x:f>IF(COUNT(N20:O20)=2,O20/(N20+O20),"")</x:f>
        <x:v>0.4037940379403794</x:v>
      </x:c>
      <x:c r="R20" s="27" t="n">
        <x:v>0</x:v>
      </x:c>
      <x:c r="S20" s="27" t="str"/>
      <x:c r="T20" s="27" t="str">
        <x:v>S014</x:v>
      </x:c>
      <x:c r="U20" s="27" t="str">
        <x:v>S014</x:v>
      </x:c>
    </x:row>
    <x:row r="21">
      <x:c r="A21" s="27" t="str">
        <x:v>2015/16</x:v>
      </x:c>
      <x:c r="B21" s="27" t="n">
        <x:v>391</x:v>
      </x:c>
      <x:c r="C21" s="30" t="n">
        <x:f>IF(AND(ISNUMBER(B21),ISNUMBER(B20)),B21/B20-1,"")</x:f>
        <x:v>-0.010126582278481067</x:v>
      </x:c>
      <x:c r="D21" s="27" t="str">
        <x:v>2009 threshold</x:v>
      </x:c>
      <x:c r="E21" s="27" t="n">
        <x:v>6</x:v>
      </x:c>
      <x:c r="F21" s="32" t="n">
        <x:f>B21/$B$15*100</x:f>
        <x:v>205.78947368421052</x:v>
      </x:c>
      <x:c r="G21" s="27" t="n">
        <x:v>413</x:v>
      </x:c>
      <x:c r="H21" s="27" t="n">
        <x:v>364</x:v>
      </x:c>
      <x:c r="I21" s="27" t="n">
        <x:v>37</x:v>
      </x:c>
      <x:c r="J21" s="27" t="n">
        <x:v>7</x:v>
      </x:c>
      <x:c r="K21" s="30" t="n">
        <x:f>IF(AND(ISNUMBER(H21),ISNUMBER(G21),G21&gt;0),H21/G21,"")</x:f>
        <x:v>0.8813559322033898</x:v>
      </x:c>
      <x:c r="L21" s="30" t="n">
        <x:f>IF(AND(ISNUMBER(I21),ISNUMBER(G21),G21&gt;0),I21/G21,"")</x:f>
        <x:v>0.08958837772397095</x:v>
      </x:c>
      <x:c r="M21" s="30" t="n">
        <x:f>IF(AND(ISNUMBER(J21),ISNUMBER(G21),G21&gt;0),J21/G21,"")</x:f>
        <x:v>0.01694915254237288</x:v>
      </x:c>
      <x:c r="N21" s="27" t="n">
        <x:v>239</x:v>
      </x:c>
      <x:c r="O21" s="27" t="n">
        <x:v>169</x:v>
      </x:c>
      <x:c r="P21" s="30" t="n">
        <x:f>IF(COUNT(N21:O21)=2,N21/(N21+O21),"")</x:f>
        <x:v>0.5857843137254902</x:v>
      </x:c>
      <x:c r="Q21" s="30" t="n">
        <x:f>IF(COUNT(N21:O21)=2,O21/(N21+O21),"")</x:f>
        <x:v>0.41421568627450983</x:v>
      </x:c>
      <x:c r="R21" s="27" t="n">
        <x:v>0</x:v>
      </x:c>
      <x:c r="S21" s="27" t="str"/>
      <x:c r="T21" s="27" t="str">
        <x:v>S015</x:v>
      </x:c>
      <x:c r="U21" s="27" t="str">
        <x:v>S015</x:v>
      </x:c>
    </x:row>
    <x:row r="22">
      <x:c r="A22" s="27" t="str">
        <x:v>2016/17</x:v>
      </x:c>
      <x:c r="B22" s="27" t="n">
        <x:v>418</x:v>
      </x:c>
      <x:c r="C22" s="30" t="n">
        <x:f>IF(AND(ISNUMBER(B22),ISNUMBER(B21)),B22/B21-1,"")</x:f>
        <x:v>0.06905370843989767</x:v>
      </x:c>
      <x:c r="D22" s="27" t="str">
        <x:v>2009 threshold</x:v>
      </x:c>
      <x:c r="E22" s="27" t="n">
        <x:v>7</x:v>
      </x:c>
      <x:c r="F22" s="32" t="n">
        <x:f>B22/$B$15*100</x:f>
        <x:v>220.00000000000003</x:v>
      </x:c>
      <x:c r="G22" s="27" t="n">
        <x:v>385</x:v>
      </x:c>
      <x:c r="H22" s="27" t="n">
        <x:v>349</x:v>
      </x:c>
      <x:c r="I22" s="27" t="n">
        <x:v>31</x:v>
      </x:c>
      <x:c r="J22" s="27" t="n">
        <x:v>5</x:v>
      </x:c>
      <x:c r="K22" s="30" t="n">
        <x:f>IF(AND(ISNUMBER(H22),ISNUMBER(G22),G22&gt;0),H22/G22,"")</x:f>
        <x:v>0.9064935064935065</x:v>
      </x:c>
      <x:c r="L22" s="30" t="n">
        <x:f>IF(AND(ISNUMBER(I22),ISNUMBER(G22),G22&gt;0),I22/G22,"")</x:f>
        <x:v>0.08051948051948052</x:v>
      </x:c>
      <x:c r="M22" s="30" t="n">
        <x:f>IF(AND(ISNUMBER(J22),ISNUMBER(G22),G22&gt;0),J22/G22,"")</x:f>
        <x:v>0.012987012987012988</x:v>
      </x:c>
      <x:c r="N22" s="27" t="str">
        <x:v>NR</x:v>
      </x:c>
      <x:c r="O22" s="27" t="str">
        <x:v>NR</x:v>
      </x:c>
      <x:c r="P22" s="30" t="str">
        <x:f>IF(COUNT(N22:O22)=2,N22/(N22+O22),"")</x:f>
      </x:c>
      <x:c r="Q22" s="30" t="str">
        <x:f>IF(COUNT(N22:O22)=2,O22/(N22+O22),"")</x:f>
      </x:c>
      <x:c r="R22" s="27" t="n">
        <x:v>0</x:v>
      </x:c>
      <x:c r="S22" s="27" t="str"/>
      <x:c r="T22" s="27" t="str">
        <x:v>S016</x:v>
      </x:c>
      <x:c r="U22" s="27" t="str">
        <x:v>S016</x:v>
      </x:c>
    </x:row>
    <x:row r="23">
      <x:c r="A23" s="27" t="str">
        <x:v>2017/18</x:v>
      </x:c>
      <x:c r="B23" s="27" t="n">
        <x:v>377</x:v>
      </x:c>
      <x:c r="C23" s="30" t="n">
        <x:f>IF(AND(ISNUMBER(B23),ISNUMBER(B22)),B23/B22-1,"")</x:f>
        <x:v>-0.09808612440191389</x:v>
      </x:c>
      <x:c r="D23" s="27" t="str">
        <x:v>2017 transition</x:v>
      </x:c>
      <x:c r="E23" s="27" t="str">
        <x:v>NA</x:v>
      </x:c>
      <x:c r="F23" s="32" t="str">
        <x:f>""</x:f>
      </x:c>
      <x:c r="G23" s="27" t="n">
        <x:v>388</x:v>
      </x:c>
      <x:c r="H23" s="27" t="n">
        <x:v>325</x:v>
      </x:c>
      <x:c r="I23" s="27" t="n">
        <x:v>52</x:v>
      </x:c>
      <x:c r="J23" s="27" t="n">
        <x:v>12</x:v>
      </x:c>
      <x:c r="K23" s="30" t="n">
        <x:f>IF(AND(ISNUMBER(H23),ISNUMBER(G23),G23&gt;0),H23/G23,"")</x:f>
        <x:v>0.8376288659793815</x:v>
      </x:c>
      <x:c r="L23" s="30" t="n">
        <x:f>IF(AND(ISNUMBER(I23),ISNUMBER(G23),G23&gt;0),I23/G23,"")</x:f>
        <x:v>0.13402061855670103</x:v>
      </x:c>
      <x:c r="M23" s="30" t="n">
        <x:f>IF(AND(ISNUMBER(J23),ISNUMBER(G23),G23&gt;0),J23/G23,"")</x:f>
        <x:v>0.030927835051546393</x:v>
      </x:c>
      <x:c r="N23" s="27" t="n">
        <x:v>207</x:v>
      </x:c>
      <x:c r="O23" s="27" t="n">
        <x:v>180</x:v>
      </x:c>
      <x:c r="P23" s="30" t="n">
        <x:f>IF(COUNT(N23:O23)=2,N23/(N23+O23),"")</x:f>
        <x:v>0.5348837209302325</x:v>
      </x:c>
      <x:c r="Q23" s="30" t="n">
        <x:f>IF(COUNT(N23:O23)=2,O23/(N23+O23),"")</x:f>
        <x:v>0.46511627906976744</x:v>
      </x:c>
      <x:c r="R23" s="27" t="n">
        <x:v>1</x:v>
      </x:c>
      <x:c r="S23" s="27" t="str">
        <x:v>October 2017 threshold revision mid-financial year.</x:v>
      </x:c>
      <x:c r="T23" s="27" t="str">
        <x:v>S017</x:v>
      </x:c>
      <x:c r="U23" s="27" t="str">
        <x:v>S017</x:v>
      </x:c>
    </x:row>
    <x:row r="24">
      <x:c r="A24" s="27" t="str">
        <x:v>2018/19</x:v>
      </x:c>
      <x:c r="B24" s="27" t="n">
        <x:v>348</x:v>
      </x:c>
      <x:c r="C24" s="30" t="n">
        <x:f>IF(AND(ISNUMBER(B24),ISNUMBER(B23)),B24/B23-1,"")</x:f>
        <x:v>-0.07692307692307687</x:v>
      </x:c>
      <x:c r="D24" s="27" t="str">
        <x:v>2017 threshold</x:v>
      </x:c>
      <x:c r="E24" s="27" t="n">
        <x:v>0</x:v>
      </x:c>
      <x:c r="F24" s="32" t="n">
        <x:f>B24/$B$24*100</x:f>
        <x:v>100</x:v>
      </x:c>
      <x:c r="G24" s="27" t="n">
        <x:v>336</x:v>
      </x:c>
      <x:c r="H24" s="27" t="n">
        <x:v>287</x:v>
      </x:c>
      <x:c r="I24" s="27" t="n">
        <x:v>41</x:v>
      </x:c>
      <x:c r="J24" s="27" t="n">
        <x:v>4</x:v>
      </x:c>
      <x:c r="K24" s="30" t="n">
        <x:f>IF(AND(ISNUMBER(H24),ISNUMBER(G24),G24&gt;0),H24/G24,"")</x:f>
        <x:v>0.8541666666666666</x:v>
      </x:c>
      <x:c r="L24" s="30" t="n">
        <x:f>IF(AND(ISNUMBER(I24),ISNUMBER(G24),G24&gt;0),I24/G24,"")</x:f>
        <x:v>0.12202380952380952</x:v>
      </x:c>
      <x:c r="M24" s="30" t="n">
        <x:f>IF(AND(ISNUMBER(J24),ISNUMBER(G24),G24&gt;0),J24/G24,"")</x:f>
        <x:v>0.011904761904761904</x:v>
      </x:c>
      <x:c r="N24" s="27" t="n">
        <x:v>151</x:v>
      </x:c>
      <x:c r="O24" s="27" t="n">
        <x:v>182</x:v>
      </x:c>
      <x:c r="P24" s="30" t="n">
        <x:f>IF(COUNT(N24:O24)=2,N24/(N24+O24),"")</x:f>
        <x:v>0.45345345345345345</x:v>
      </x:c>
      <x:c r="Q24" s="30" t="n">
        <x:f>IF(COUNT(N24:O24)=2,O24/(N24+O24),"")</x:f>
        <x:v>0.5465465465465466</x:v>
      </x:c>
      <x:c r="R24" s="27" t="n">
        <x:v>1</x:v>
      </x:c>
      <x:c r="S24" s="27" t="str">
        <x:v>First full FY under 2017 threshold.</x:v>
      </x:c>
      <x:c r="T24" s="27" t="str">
        <x:v>S018</x:v>
      </x:c>
      <x:c r="U24" s="27" t="str">
        <x:v>S018</x:v>
      </x:c>
    </x:row>
    <x:row r="25">
      <x:c r="A25" s="27" t="str">
        <x:v>2019/20</x:v>
      </x:c>
      <x:c r="B25" s="27" t="n">
        <x:v>302</x:v>
      </x:c>
      <x:c r="C25" s="30" t="n">
        <x:f>IF(AND(ISNUMBER(B25),ISNUMBER(B24)),B25/B24-1,"")</x:f>
        <x:v>-0.13218390804597702</x:v>
      </x:c>
      <x:c r="D25" s="27" t="str">
        <x:v>2017 threshold</x:v>
      </x:c>
      <x:c r="E25" s="27" t="n">
        <x:v>1</x:v>
      </x:c>
      <x:c r="F25" s="32" t="n">
        <x:f>B25/$B$24*100</x:f>
        <x:v>86.7816091954023</x:v>
      </x:c>
      <x:c r="G25" s="27" t="n">
        <x:v>318</x:v>
      </x:c>
      <x:c r="H25" s="27" t="n">
        <x:v>278</x:v>
      </x:c>
      <x:c r="I25" s="27" t="n">
        <x:v>33</x:v>
      </x:c>
      <x:c r="J25" s="27" t="n">
        <x:v>7</x:v>
      </x:c>
      <x:c r="K25" s="30" t="n">
        <x:f>IF(AND(ISNUMBER(H25),ISNUMBER(G25),G25&gt;0),H25/G25,"")</x:f>
        <x:v>0.8742138364779874</x:v>
      </x:c>
      <x:c r="L25" s="30" t="n">
        <x:f>IF(AND(ISNUMBER(I25),ISNUMBER(G25),G25&gt;0),I25/G25,"")</x:f>
        <x:v>0.10377358490566038</x:v>
      </x:c>
      <x:c r="M25" s="30" t="n">
        <x:f>IF(AND(ISNUMBER(J25),ISNUMBER(G25),G25&gt;0),J25/G25,"")</x:f>
        <x:v>0.0220125786163522</x:v>
      </x:c>
      <x:c r="N25" s="27" t="n">
        <x:v>161</x:v>
      </x:c>
      <x:c r="O25" s="27" t="n">
        <x:v>157</x:v>
      </x:c>
      <x:c r="P25" s="30" t="n">
        <x:f>IF(COUNT(N25:O25)=2,N25/(N25+O25),"")</x:f>
        <x:v>0.5062893081761006</x:v>
      </x:c>
      <x:c r="Q25" s="30" t="n">
        <x:f>IF(COUNT(N25:O25)=2,O25/(N25+O25),"")</x:f>
        <x:v>0.4937106918238994</x:v>
      </x:c>
      <x:c r="R25" s="27" t="n">
        <x:v>0</x:v>
      </x:c>
      <x:c r="S25" s="27" t="str">
        <x:v>Finalised definition excludes abandoned/withdrawn in footnote.</x:v>
      </x:c>
      <x:c r="T25" s="27" t="str">
        <x:v>S019</x:v>
      </x:c>
      <x:c r="U25" s="27" t="str">
        <x:v>S019</x:v>
      </x:c>
    </x:row>
    <x:row r="26">
      <x:c r="A26" s="27" t="str">
        <x:v>2020/21</x:v>
      </x:c>
      <x:c r="B26" s="27" t="n">
        <x:v>242</x:v>
      </x:c>
      <x:c r="C26" s="30" t="n">
        <x:f>IF(AND(ISNUMBER(B26),ISNUMBER(B25)),B26/B25-1,"")</x:f>
        <x:v>-0.19867549668874174</x:v>
      </x:c>
      <x:c r="D26" s="27" t="str">
        <x:v>2017 threshold</x:v>
      </x:c>
      <x:c r="E26" s="27" t="n">
        <x:v>2</x:v>
      </x:c>
      <x:c r="F26" s="32" t="n">
        <x:f>B26/$B$24*100</x:f>
        <x:v>69.54022988505747</x:v>
      </x:c>
      <x:c r="G26" s="27" t="n">
        <x:v>225</x:v>
      </x:c>
      <x:c r="H26" s="27" t="n">
        <x:v>189</x:v>
      </x:c>
      <x:c r="I26" s="27" t="n">
        <x:v>34</x:v>
      </x:c>
      <x:c r="J26" s="27" t="n">
        <x:v>2</x:v>
      </x:c>
      <x:c r="K26" s="30" t="n">
        <x:f>IF(AND(ISNUMBER(H26),ISNUMBER(G26),G26&gt;0),H26/G26,"")</x:f>
        <x:v>0.84</x:v>
      </x:c>
      <x:c r="L26" s="30" t="n">
        <x:f>IF(AND(ISNUMBER(I26),ISNUMBER(G26),G26&gt;0),I26/G26,"")</x:f>
        <x:v>0.1511111111111111</x:v>
      </x:c>
      <x:c r="M26" s="30" t="n">
        <x:f>IF(AND(ISNUMBER(J26),ISNUMBER(G26),G26&gt;0),J26/G26,"")</x:f>
        <x:v>0.008888888888888889</x:v>
      </x:c>
      <x:c r="N26" s="27" t="n">
        <x:v>61</x:v>
      </x:c>
      <x:c r="O26" s="27" t="n">
        <x:v>164</x:v>
      </x:c>
      <x:c r="P26" s="30" t="n">
        <x:f>IF(COUNT(N26:O26)=2,N26/(N26+O26),"")</x:f>
        <x:v>0.27111111111111114</x:v>
      </x:c>
      <x:c r="Q26" s="30" t="n">
        <x:f>IF(COUNT(N26:O26)=2,O26/(N26+O26),"")</x:f>
        <x:v>0.7288888888888889</x:v>
      </x:c>
      <x:c r="R26" s="27" t="n">
        <x:v>1</x:v>
      </x:c>
      <x:c r="S26" s="27" t="str">
        <x:v>COVID-19 shock.</x:v>
      </x:c>
      <x:c r="T26" s="27" t="str">
        <x:v>S020</x:v>
      </x:c>
      <x:c r="U26" s="27" t="str">
        <x:v>S020</x:v>
      </x:c>
    </x:row>
    <x:row r="27">
      <x:c r="A27" s="27" t="str">
        <x:v>2021/22</x:v>
      </x:c>
      <x:c r="B27" s="27" t="n">
        <x:v>295</x:v>
      </x:c>
      <x:c r="C27" s="30" t="n">
        <x:f>IF(AND(ISNUMBER(B27),ISNUMBER(B26)),B27/B26-1,"")</x:f>
        <x:v>0.21900826446280997</x:v>
      </x:c>
      <x:c r="D27" s="27" t="str">
        <x:v>2017 threshold</x:v>
      </x:c>
      <x:c r="E27" s="27" t="n">
        <x:v>3</x:v>
      </x:c>
      <x:c r="F27" s="32" t="n">
        <x:f>B27/$B$24*100</x:f>
        <x:v>84.77011494252874</x:v>
      </x:c>
      <x:c r="G27" s="27" t="n">
        <x:v>297</x:v>
      </x:c>
      <x:c r="H27" s="27" t="n">
        <x:v>216</x:v>
      </x:c>
      <x:c r="I27" s="27" t="n">
        <x:v>74</x:v>
      </x:c>
      <x:c r="J27" s="27" t="n">
        <x:v>5</x:v>
      </x:c>
      <x:c r="K27" s="30" t="n">
        <x:f>IF(AND(ISNUMBER(H27),ISNUMBER(G27),G27&gt;0),H27/G27,"")</x:f>
        <x:v>0.7272727272727273</x:v>
      </x:c>
      <x:c r="L27" s="30" t="n">
        <x:f>IF(AND(ISNUMBER(I27),ISNUMBER(G27),G27&gt;0),I27/G27,"")</x:f>
        <x:v>0.24915824915824916</x:v>
      </x:c>
      <x:c r="M27" s="30" t="n">
        <x:f>IF(AND(ISNUMBER(J27),ISNUMBER(G27),G27&gt;0),J27/G27,"")</x:f>
        <x:v>0.016835016835016835</x:v>
      </x:c>
      <x:c r="N27" s="27" t="n">
        <x:v>50</x:v>
      </x:c>
      <x:c r="O27" s="27" t="n">
        <x:v>245</x:v>
      </x:c>
      <x:c r="P27" s="30" t="n">
        <x:f>IF(COUNT(N27:O27)=2,N27/(N27+O27),"")</x:f>
        <x:v>0.1694915254237288</x:v>
      </x:c>
      <x:c r="Q27" s="30" t="n">
        <x:f>IF(COUNT(N27:O27)=2,O27/(N27+O27),"")</x:f>
        <x:v>0.8305084745762712</x:v>
      </x:c>
      <x:c r="R27" s="27" t="n">
        <x:v>0</x:v>
      </x:c>
      <x:c r="S27" s="27" t="str">
        <x:v>Public-interest implementation materially affects conditional approvals.</x:v>
      </x:c>
      <x:c r="T27" s="27" t="str">
        <x:v>S021</x:v>
      </x:c>
      <x:c r="U27" s="27" t="str">
        <x:v>S021</x:v>
      </x:c>
    </x:row>
    <x:row r="28">
      <x:c r="A28" s="27" t="str">
        <x:v>2022/23</x:v>
      </x:c>
      <x:c r="B28" s="27" t="n">
        <x:v>273</x:v>
      </x:c>
      <x:c r="C28" s="30" t="n">
        <x:f>IF(AND(ISNUMBER(B28),ISNUMBER(B27)),B28/B27-1,"")</x:f>
        <x:v>-0.07457627118644072</x:v>
      </x:c>
      <x:c r="D28" s="27" t="str">
        <x:v>2017 threshold</x:v>
      </x:c>
      <x:c r="E28" s="27" t="n">
        <x:v>4</x:v>
      </x:c>
      <x:c r="F28" s="32" t="n">
        <x:f>B28/$B$24*100</x:f>
        <x:v>78.44827586206897</x:v>
      </x:c>
      <x:c r="G28" s="27" t="n">
        <x:v>258</x:v>
      </x:c>
      <x:c r="H28" s="27" t="n">
        <x:v>189</x:v>
      </x:c>
      <x:c r="I28" s="27" t="n">
        <x:v>68</x:v>
      </x:c>
      <x:c r="J28" s="27" t="n">
        <x:v>1</x:v>
      </x:c>
      <x:c r="K28" s="30" t="n">
        <x:f>IF(AND(ISNUMBER(H28),ISNUMBER(G28),G28&gt;0),H28/G28,"")</x:f>
        <x:v>0.7325581395348837</x:v>
      </x:c>
      <x:c r="L28" s="30" t="n">
        <x:f>IF(AND(ISNUMBER(I28),ISNUMBER(G28),G28&gt;0),I28/G28,"")</x:f>
        <x:v>0.26356589147286824</x:v>
      </x:c>
      <x:c r="M28" s="30" t="n">
        <x:f>IF(AND(ISNUMBER(J28),ISNUMBER(G28),G28&gt;0),J28/G28,"")</x:f>
        <x:v>0.003875968992248062</x:v>
      </x:c>
      <x:c r="N28" s="27" t="n">
        <x:v>35</x:v>
      </x:c>
      <x:c r="O28" s="27" t="n">
        <x:v>224</x:v>
      </x:c>
      <x:c r="P28" s="30" t="n">
        <x:f>IF(COUNT(N28:O28)=2,N28/(N28+O28),"")</x:f>
        <x:v>0.13513513513513514</x:v>
      </x:c>
      <x:c r="Q28" s="30" t="n">
        <x:f>IF(COUNT(N28:O28)=2,O28/(N28+O28),"")</x:f>
        <x:v>0.8648648648648649</x:v>
      </x:c>
      <x:c r="R28" s="27" t="n">
        <x:v>1</x:v>
      </x:c>
      <x:c r="S28" s="27" t="str">
        <x:v>Notification components do not sum; revised small-merger guidelines.</x:v>
      </x:c>
      <x:c r="T28" s="27" t="str">
        <x:v>S022</x:v>
      </x:c>
      <x:c r="U28" s="27" t="str">
        <x:v>S022</x:v>
      </x:c>
    </x:row>
    <x:row r="29">
      <x:c r="A29" s="27" t="str">
        <x:v>2023/24</x:v>
      </x:c>
      <x:c r="B29" s="27" t="n">
        <x:v>268</x:v>
      </x:c>
      <x:c r="C29" s="30" t="n">
        <x:f>IF(AND(ISNUMBER(B29),ISNUMBER(B28)),B29/B28-1,"")</x:f>
        <x:v>-0.01831501831501836</x:v>
      </x:c>
      <x:c r="D29" s="27" t="str">
        <x:v>2017 threshold</x:v>
      </x:c>
      <x:c r="E29" s="27" t="n">
        <x:v>5</x:v>
      </x:c>
      <x:c r="F29" s="32" t="n">
        <x:f>B29/$B$24*100</x:f>
        <x:v>77.01149425287356</x:v>
      </x:c>
      <x:c r="G29" s="27" t="n">
        <x:v>266</x:v>
      </x:c>
      <x:c r="H29" s="27" t="n">
        <x:v>136</x:v>
      </x:c>
      <x:c r="I29" s="27" t="n">
        <x:v>126</x:v>
      </x:c>
      <x:c r="J29" s="27" t="n">
        <x:v>1</x:v>
      </x:c>
      <x:c r="K29" s="30" t="n">
        <x:f>IF(AND(ISNUMBER(H29),ISNUMBER(G29),G29&gt;0),H29/G29,"")</x:f>
        <x:v>0.5112781954887218</x:v>
      </x:c>
      <x:c r="L29" s="30" t="n">
        <x:f>IF(AND(ISNUMBER(I29),ISNUMBER(G29),G29&gt;0),I29/G29,"")</x:f>
        <x:v>0.47368421052631576</x:v>
      </x:c>
      <x:c r="M29" s="30" t="n">
        <x:f>IF(AND(ISNUMBER(J29),ISNUMBER(G29),G29&gt;0),J29/G29,"")</x:f>
        <x:v>0.0037593984962406013</x:v>
      </x:c>
      <x:c r="N29" s="27" t="n">
        <x:v>4</x:v>
      </x:c>
      <x:c r="O29" s="27" t="n">
        <x:v>259</x:v>
      </x:c>
      <x:c r="P29" s="30" t="n">
        <x:f>IF(COUNT(N29:O29)=2,N29/(N29+O29),"")</x:f>
        <x:v>0.015209125475285171</x:v>
      </x:c>
      <x:c r="Q29" s="30" t="n">
        <x:f>IF(COUNT(N29:O29)=2,O29/(N29+O29),"")</x:f>
        <x:v>0.9847908745247148</x:v>
      </x:c>
      <x:c r="R29" s="27" t="n">
        <x:v>0</x:v>
      </x:c>
      <x:c r="S29" s="27" t="str">
        <x:v>Conditional approvals ~47% amid stronger PI implementation.</x:v>
      </x:c>
      <x:c r="T29" s="27" t="str">
        <x:v>S023</x:v>
      </x:c>
      <x:c r="U29" s="27" t="str">
        <x:v>S023</x:v>
      </x:c>
    </x:row>
    <x:row r="30">
      <x:c r="A30" s="27" t="str">
        <x:v>2024/25</x:v>
      </x:c>
      <x:c r="B30" s="27" t="n">
        <x:v>330</x:v>
      </x:c>
      <x:c r="C30" s="30" t="n">
        <x:f>IF(AND(ISNUMBER(B30),ISNUMBER(B29)),B30/B29-1,"")</x:f>
        <x:v>0.23134328358208944</x:v>
      </x:c>
      <x:c r="D30" s="27" t="str">
        <x:v>2017 threshold</x:v>
      </x:c>
      <x:c r="E30" s="27" t="n">
        <x:v>6</x:v>
      </x:c>
      <x:c r="F30" s="32" t="n">
        <x:f>B30/$B$24*100</x:f>
        <x:v>94.82758620689656</x:v>
      </x:c>
      <x:c r="G30" s="27" t="n">
        <x:v>330</x:v>
      </x:c>
      <x:c r="H30" s="27" t="n">
        <x:v>196</x:v>
      </x:c>
      <x:c r="I30" s="27" t="n">
        <x:v>122</x:v>
      </x:c>
      <x:c r="J30" s="27" t="n">
        <x:v>2</x:v>
      </x:c>
      <x:c r="K30" s="30" t="n">
        <x:f>IF(AND(ISNUMBER(H30),ISNUMBER(G30),G30&gt;0),H30/G30,"")</x:f>
        <x:v>0.593939393939394</x:v>
      </x:c>
      <x:c r="L30" s="30" t="n">
        <x:f>IF(AND(ISNUMBER(I30),ISNUMBER(G30),G30&gt;0),I30/G30,"")</x:f>
        <x:v>0.3696969696969697</x:v>
      </x:c>
      <x:c r="M30" s="30" t="n">
        <x:f>IF(AND(ISNUMBER(J30),ISNUMBER(G30),G30&gt;0),J30/G30,"")</x:f>
        <x:v>0.006060606060606061</x:v>
      </x:c>
      <x:c r="N30" s="27" t="n">
        <x:v>12</x:v>
      </x:c>
      <x:c r="O30" s="27" t="n">
        <x:v>308</x:v>
      </x:c>
      <x:c r="P30" s="30" t="n">
        <x:f>IF(COUNT(N30:O30)=2,N30/(N30+O30),"")</x:f>
        <x:v>0.0375</x:v>
      </x:c>
      <x:c r="Q30" s="30" t="n">
        <x:f>IF(COUNT(N30:O30)=2,O30/(N30+O30),"")</x:f>
        <x:v>0.9625</x:v>
      </x:c>
      <x:c r="R30" s="27" t="n">
        <x:v>0</x:v>
      </x:c>
      <x:c r="S30" s="27" t="str">
        <x:v>Strong notification rebound; thresholds still fixed at 2017 levels.</x:v>
      </x:c>
      <x:c r="T30" s="27" t="str">
        <x:v>S024</x:v>
      </x:c>
      <x:c r="U30" s="27" t="str">
        <x:v>S024</x:v>
      </x:c>
    </x:row>
  </x:sheetData>
  <x:mergeCells>
    <x:mergeCell ref="A1:U1"/>
    <x:mergeCell ref="A2:U2"/>
  </x:mergeCells>
  <x:conditionalFormatting sqref="R5:R30">
    <x:cfRule type="expression" dxfId="9" priority="1">
      <x:formula>R5=1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160bfa21f20414b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3" hidden="0" customWidth="1"/>
    <x:col min="4" max="4" width="14" hidden="0" customWidth="1"/>
    <x:col min="5" max="5" width="18" hidden="0" customWidth="1"/>
    <x:col min="6" max="6" width="14" hidden="0" customWidth="1"/>
    <x:col min="7" max="7" width="14" hidden="0" customWidth="1"/>
    <x:col min="8" max="8" width="4" hidden="0" customWidth="1"/>
    <x:col min="9" max="9" width="18" hidden="0" customWidth="1"/>
    <x:col min="10" max="10" width="16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0" customHeight="1">
      <x:c r="A1" s="4" t="str">
        <x:v>M&amp;A Thresholds and Workload Dashboard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0" customHeight="1">
      <x:c r="A2" s="10" t="str">
        <x:v>Descriptive institutional evidence from Competition Commission annual reports. Threshold changes are not isolated causal experiments.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4">
      <x:c r="A4" s="39" t="str">
        <x:v>Latest annual-report snapshot: 2024/25</x:v>
      </x:c>
      <x:c r="B4" s="39"/>
      <x:c r="C4" s="39"/>
      <x:c r="D4" s="39"/>
      <x:c r="E4" s="39"/>
      <x:c r="F4" s="39"/>
      <x:c r="G4" s="39"/>
      <x:c r="H4" s="39"/>
      <x:c r="I4" s="39"/>
      <x:c r="J4" s="39"/>
      <x:c r="K4" s="39"/>
      <x:c r="L4" s="39"/>
      <x:c r="M4" s="39"/>
      <x:c r="N4" s="39"/>
    </x:row>
    <x:row r="6">
      <x:c r="A6" s="43" t="str">
        <x:v>Notifications</x:v>
      </x:c>
      <x:c r="B6" s="47" t="n">
        <x:f>Research_Ready_Series!B30</x:f>
        <x:v>330</x:v>
      </x:c>
      <x:c r="D6" s="17" t="str">
        <x:v>Key interpretation</x:v>
      </x:c>
      <x:c r="E6" s="17"/>
      <x:c r="F6" s="17"/>
      <x:c r="G6" s="17"/>
      <x:c r="H6" s="17"/>
      <x:c r="I6" s="17"/>
      <x:c r="J6" s="17"/>
      <x:c r="K6" s="17"/>
      <x:c r="L6" s="17"/>
      <x:c r="M6" s="17"/>
      <x:c r="N6" s="17"/>
    </x:row>
    <x:row r="7" ht="30" customHeight="1">
      <x:c r="A7" s="43" t="str">
        <x:v>Finalised</x:v>
      </x:c>
      <x:c r="B7" s="47" t="n">
        <x:f>Research_Ready_Series!G30</x:f>
        <x:v>330</x:v>
      </x:c>
      <x:c r="D7" s="53" t="str">
        <x:v>The 2009 threshold reset is the cleanest institutional workload episode, but the global financial crisis is a major contemporaneous confounder.</x:v>
      </x:c>
      <x:c r="E7" s="53"/>
      <x:c r="F7" s="53"/>
      <x:c r="G7" s="53"/>
      <x:c r="H7" s="53"/>
      <x:c r="I7" s="53"/>
      <x:c r="J7" s="53"/>
      <x:c r="K7" s="53"/>
      <x:c r="L7" s="53"/>
      <x:c r="M7" s="53"/>
      <x:c r="N7" s="53"/>
    </x:row>
    <x:row r="8" ht="30" customHeight="1">
      <x:c r="A8" s="43" t="str">
        <x:v>Conditional approvals</x:v>
      </x:c>
      <x:c r="B8" s="47" t="n">
        <x:f>Research_Ready_Series!I30</x:f>
        <x:v>122</x:v>
      </x:c>
      <x:c r="D8" s="53" t="str">
        <x:v>Phase 1 cases fell from 342 in 2008/09 to 123 in 2009/10, while complex cases became a larger share of the classified caseload.</x:v>
      </x:c>
      <x:c r="E8" s="53"/>
      <x:c r="F8" s="53"/>
      <x:c r="G8" s="53"/>
      <x:c r="H8" s="53"/>
      <x:c r="I8" s="53"/>
      <x:c r="J8" s="53"/>
      <x:c r="K8" s="53"/>
      <x:c r="L8" s="53"/>
      <x:c r="M8" s="53"/>
      <x:c r="N8" s="53"/>
    </x:row>
    <x:row r="9" ht="30" customHeight="1">
      <x:c r="A9" s="43" t="str">
        <x:v>Conditional share</x:v>
      </x:c>
      <x:c r="B9" s="50" t="n">
        <x:f>Research_Ready_Series!L30</x:f>
        <x:v>0.3696969696969697</x:v>
      </x:c>
      <x:c r="D9" s="53" t="str">
        <x:v>Within the 2009 threshold spell, notifications rebuilt from 190 in 2009/10 to 418 by 2016/17: a one-off nominal reset did not permanently fix workload.</x:v>
      </x:c>
      <x:c r="E9" s="53"/>
      <x:c r="F9" s="53"/>
      <x:c r="G9" s="53"/>
      <x:c r="H9" s="53"/>
      <x:c r="I9" s="53"/>
      <x:c r="J9" s="53"/>
      <x:c r="K9" s="53"/>
      <x:c r="L9" s="53"/>
      <x:c r="M9" s="53"/>
      <x:c r="N9" s="53"/>
    </x:row>
    <x:row r="10" ht="30" customHeight="1">
      <x:c r="A10" s="43" t="str">
        <x:v>Phase 1 share</x:v>
      </x:c>
      <x:c r="B10" s="50" t="n">
        <x:f>Research_Ready_Series!P30</x:f>
        <x:v>0.0375</x:v>
      </x:c>
      <x:c r="D10" s="53" t="str">
        <x:v>After 2020/21, conditional approvals rose with stronger public-interest implementation, so notification counts increasingly understate M&amp;A workload intensity.</x:v>
      </x:c>
      <x:c r="E10" s="53"/>
      <x:c r="F10" s="53"/>
      <x:c r="G10" s="53"/>
      <x:c r="H10" s="53"/>
      <x:c r="I10" s="53"/>
      <x:c r="J10" s="53"/>
      <x:c r="K10" s="53"/>
      <x:c r="L10" s="53"/>
      <x:c r="M10" s="53"/>
      <x:c r="N10" s="53"/>
    </x:row>
    <x:row r="11" ht="30" customHeight="1">
      <x:c r="A11" s="43" t="str">
        <x:v>Complex share</x:v>
      </x:c>
      <x:c r="B11" s="50" t="n">
        <x:f>Research_Ready_Series!Q30</x:f>
        <x:v>0.9625</x:v>
      </x:c>
      <x:c r="D11" s="53" t="str">
        <x:v>In 2024/25 notifications rebounded 23% to 330 while the 2017 thresholds were still in force; the Commission linked the rebound to improved economic activity.</x:v>
      </x:c>
      <x:c r="E11" s="53"/>
      <x:c r="F11" s="53"/>
      <x:c r="G11" s="53"/>
      <x:c r="H11" s="53"/>
      <x:c r="I11" s="53"/>
      <x:c r="J11" s="53"/>
      <x:c r="K11" s="53"/>
      <x:c r="L11" s="53"/>
      <x:c r="M11" s="53"/>
      <x:c r="N11" s="53"/>
    </x:row>
    <x:row r="14">
      <x:c r="A14" s="17" t="str">
        <x:v>Financial year</x:v>
      </x:c>
      <x:c r="B14" s="17" t="str">
        <x:v>Notifications</x:v>
      </x:c>
      <x:c r="C14" s="17" t="str">
        <x:v>Finalised</x:v>
      </x:c>
      <x:c r="E14" s="17" t="str">
        <x:v>Financial year</x:v>
      </x:c>
      <x:c r="F14" s="17" t="str">
        <x:v>Phase 1 share</x:v>
      </x:c>
      <x:c r="G14" s="17" t="str">
        <x:v>Complex share</x:v>
      </x:c>
      <x:c r="I14" s="17" t="str">
        <x:v>Financial year</x:v>
      </x:c>
      <x:c r="J14" s="17" t="str">
        <x:v>Conditional share</x:v>
      </x:c>
    </x:row>
    <x:row r="15">
      <x:c r="A15" t="str">
        <x:v>2001/02</x:v>
      </x:c>
      <x:c r="B15" t="n">
        <x:v>220</x:v>
      </x:c>
      <x:c r="C15" t="n">
        <x:v>225</x:v>
      </x:c>
      <x:c r="E15" t="str">
        <x:v>2007/08</x:v>
      </x:c>
      <x:c r="F15" s="56" t="n">
        <x:v>0.8187633262260128</x:v>
      </x:c>
      <x:c r="G15" s="56" t="n">
        <x:v>0.1812366737739872</x:v>
      </x:c>
      <x:c r="I15" t="str">
        <x:v>2001/02</x:v>
      </x:c>
      <x:c r="J15" s="56" t="n">
        <x:v>0</x:v>
      </x:c>
    </x:row>
    <x:row r="16">
      <x:c r="A16" t="str">
        <x:v>2002/03</x:v>
      </x:c>
      <x:c r="B16" t="n">
        <x:v>211</x:v>
      </x:c>
      <x:c r="C16" t="n">
        <x:v>202</x:v>
      </x:c>
      <x:c r="E16" t="str">
        <x:v>2008/09</x:v>
      </x:c>
      <x:c r="F16" s="56" t="n">
        <x:v>0.7755102040816326</x:v>
      </x:c>
      <x:c r="G16" s="56" t="n">
        <x:v>0.22448979591836735</x:v>
      </x:c>
      <x:c r="I16" t="str">
        <x:v>2002/03</x:v>
      </x:c>
      <x:c r="J16" s="56" t="n">
        <x:v>0.024752475247524754</x:v>
      </x:c>
    </x:row>
    <x:row r="17">
      <x:c r="A17" t="str">
        <x:v>2003/04</x:v>
      </x:c>
      <x:c r="B17" t="n">
        <x:v>284</x:v>
      </x:c>
      <x:c r="C17" t="n">
        <x:v>278</x:v>
      </x:c>
      <x:c r="E17" t="str">
        <x:v>2009/10</x:v>
      </x:c>
      <x:c r="F17" s="56" t="n">
        <x:v>0.6180904522613065</x:v>
      </x:c>
      <x:c r="G17" s="56" t="n">
        <x:v>0.38190954773869346</x:v>
      </x:c>
      <x:c r="I17" t="str">
        <x:v>2003/04</x:v>
      </x:c>
      <x:c r="J17" s="56" t="n">
        <x:v>0.025179856115107913</x:v>
      </x:c>
    </x:row>
    <x:row r="18">
      <x:c r="A18" t="str">
        <x:v>2004/05</x:v>
      </x:c>
      <x:c r="B18" t="n">
        <x:v>311</x:v>
      </x:c>
      <x:c r="C18" t="n">
        <x:v>301</x:v>
      </x:c>
      <x:c r="E18" t="str">
        <x:v>2010/11</x:v>
      </x:c>
      <x:c r="F18" s="56" t="n">
        <x:v>0.6574074074074074</x:v>
      </x:c>
      <x:c r="G18" s="56" t="n">
        <x:v>0.3425925925925926</x:v>
      </x:c>
      <x:c r="I18" t="str">
        <x:v>2004/05</x:v>
      </x:c>
      <x:c r="J18" s="56" t="n">
        <x:v>0.029900332225913623</x:v>
      </x:c>
    </x:row>
    <x:row r="19">
      <x:c r="A19" t="str">
        <x:v>2005/06</x:v>
      </x:c>
      <x:c r="B19" t="n">
        <x:v>408</x:v>
      </x:c>
      <x:c r="C19" t="n">
        <x:v>394</x:v>
      </x:c>
      <x:c r="E19" t="str">
        <x:v>2011/12</x:v>
      </x:c>
      <x:c r="F19" s="56" t="n">
        <x:v>0.6618181818181819</x:v>
      </x:c>
      <x:c r="G19" s="56" t="n">
        <x:v>0.3381818181818182</x:v>
      </x:c>
      <x:c r="I19" t="str">
        <x:v>2005/06</x:v>
      </x:c>
      <x:c r="J19" s="56" t="n">
        <x:v>0.03553299492385787</x:v>
      </x:c>
    </x:row>
    <x:row r="20">
      <x:c r="A20" t="str">
        <x:v>2006/07</x:v>
      </x:c>
      <x:c r="B20" t="n">
        <x:v>413</x:v>
      </x:c>
      <x:c r="C20" t="n">
        <x:v>410</x:v>
      </x:c>
      <x:c r="E20" t="str">
        <x:v>2013/14</x:v>
      </x:c>
      <x:c r="F20" s="56" t="n">
        <x:v>0.5876923076923077</x:v>
      </x:c>
      <x:c r="G20" s="56" t="n">
        <x:v>0.4123076923076923</x:v>
      </x:c>
      <x:c r="I20" t="str">
        <x:v>2006/07</x:v>
      </x:c>
      <x:c r="J20" s="56" t="n">
        <x:v>0.01707317073170732</x:v>
      </x:c>
    </x:row>
    <x:row r="21">
      <x:c r="A21" t="str">
        <x:v>2007/08</x:v>
      </x:c>
      <x:c r="B21" t="n">
        <x:v>513</x:v>
      </x:c>
      <x:c r="C21" t="n">
        <x:v>480</x:v>
      </x:c>
      <x:c r="E21" t="str">
        <x:v>2014/15</x:v>
      </x:c>
      <x:c r="F21" s="56" t="n">
        <x:v>0.5962059620596206</x:v>
      </x:c>
      <x:c r="G21" s="56" t="n">
        <x:v>0.4037940379403794</x:v>
      </x:c>
      <x:c r="I21" t="str">
        <x:v>2007/08</x:v>
      </x:c>
      <x:c r="J21" s="56" t="n">
        <x:v>0.022916666666666665</x:v>
      </x:c>
    </x:row>
    <x:row r="22">
      <x:c r="A22" t="str">
        <x:v>2008/09</x:v>
      </x:c>
      <x:c r="B22" t="n">
        <x:v>415</x:v>
      </x:c>
      <x:c r="C22" t="n">
        <x:v>458</x:v>
      </x:c>
      <x:c r="E22" t="str">
        <x:v>2015/16</x:v>
      </x:c>
      <x:c r="F22" s="56" t="n">
        <x:v>0.5857843137254902</x:v>
      </x:c>
      <x:c r="G22" s="56" t="n">
        <x:v>0.41421568627450983</x:v>
      </x:c>
      <x:c r="I22" t="str">
        <x:v>2008/09</x:v>
      </x:c>
      <x:c r="J22" s="56" t="n">
        <x:v>0.019650655021834062</x:v>
      </x:c>
    </x:row>
    <x:row r="23">
      <x:c r="A23" t="str">
        <x:v>2009/10</x:v>
      </x:c>
      <x:c r="B23" t="n">
        <x:v>190</x:v>
      </x:c>
      <x:c r="C23" t="n">
        <x:v>208</x:v>
      </x:c>
      <x:c r="E23" t="str">
        <x:v>2017/18</x:v>
      </x:c>
      <x:c r="F23" s="56" t="n">
        <x:v>0.5348837209302325</x:v>
      </x:c>
      <x:c r="G23" s="56" t="n">
        <x:v>0.46511627906976744</x:v>
      </x:c>
      <x:c r="I23" t="str">
        <x:v>2009/10</x:v>
      </x:c>
      <x:c r="J23" s="56" t="n">
        <x:v>0.038461538461538464</x:v>
      </x:c>
    </x:row>
    <x:row r="24">
      <x:c r="A24" t="str">
        <x:v>2010/11</x:v>
      </x:c>
      <x:c r="B24" t="n">
        <x:v>229</x:v>
      </x:c>
      <x:c r="C24" t="n">
        <x:v>220</x:v>
      </x:c>
      <x:c r="E24" t="str">
        <x:v>2018/19</x:v>
      </x:c>
      <x:c r="F24" s="56" t="n">
        <x:v>0.45345345345345345</x:v>
      </x:c>
      <x:c r="G24" s="56" t="n">
        <x:v>0.5465465465465466</x:v>
      </x:c>
      <x:c r="I24" t="str">
        <x:v>2010/11</x:v>
      </x:c>
      <x:c r="J24" s="56" t="n">
        <x:v>0.06363636363636363</x:v>
      </x:c>
    </x:row>
    <x:row r="25">
      <x:c r="A25" t="str">
        <x:v>2011/12</x:v>
      </x:c>
      <x:c r="B25" t="n">
        <x:v>291</x:v>
      </x:c>
      <x:c r="C25" t="n">
        <x:v>282</x:v>
      </x:c>
      <x:c r="E25" t="str">
        <x:v>2019/20</x:v>
      </x:c>
      <x:c r="F25" s="56" t="n">
        <x:v>0.5062893081761006</x:v>
      </x:c>
      <x:c r="G25" s="56" t="n">
        <x:v>0.4937106918238994</x:v>
      </x:c>
      <x:c r="I25" t="str">
        <x:v>2011/12</x:v>
      </x:c>
      <x:c r="J25" s="56" t="n">
        <x:v>0.11702127659574468</x:v>
      </x:c>
    </x:row>
    <x:row r="26">
      <x:c r="A26" t="str">
        <x:v>2012/13</x:v>
      </x:c>
      <x:c r="B26" t="n">
        <x:v>324</x:v>
      </x:c>
      <x:c r="C26" t="n">
        <x:v>327</x:v>
      </x:c>
      <x:c r="E26" t="str">
        <x:v>2020/21</x:v>
      </x:c>
      <x:c r="F26" s="56" t="n">
        <x:v>0.27111111111111114</x:v>
      </x:c>
      <x:c r="G26" s="56" t="n">
        <x:v>0.7288888888888889</x:v>
      </x:c>
      <x:c r="I26" t="str">
        <x:v>2012/13</x:v>
      </x:c>
      <x:c r="J26" s="56" t="n">
        <x:v>0.11314984709480122</x:v>
      </x:c>
    </x:row>
    <x:row r="27">
      <x:c r="A27" t="str">
        <x:v>2013/14</x:v>
      </x:c>
      <x:c r="B27" t="n">
        <x:v>320</x:v>
      </x:c>
      <x:c r="C27" t="n">
        <x:v>329</x:v>
      </x:c>
      <x:c r="E27" t="str">
        <x:v>2021/22</x:v>
      </x:c>
      <x:c r="F27" s="56" t="n">
        <x:v>0.1694915254237288</x:v>
      </x:c>
      <x:c r="G27" s="56" t="n">
        <x:v>0.8305084745762712</x:v>
      </x:c>
      <x:c r="I27" t="str">
        <x:v>2013/14</x:v>
      </x:c>
      <x:c r="J27" s="56" t="n">
        <x:v>0.0668693009118541</x:v>
      </x:c>
    </x:row>
    <x:row r="28">
      <x:c r="A28" t="str">
        <x:v>2014/15</x:v>
      </x:c>
      <x:c r="B28" t="n">
        <x:v>395</x:v>
      </x:c>
      <x:c r="C28" t="n">
        <x:v>375</x:v>
      </x:c>
      <x:c r="E28" t="str">
        <x:v>2022/23</x:v>
      </x:c>
      <x:c r="F28" s="56" t="n">
        <x:v>0.13513513513513514</x:v>
      </x:c>
      <x:c r="G28" s="56" t="n">
        <x:v>0.8648648648648649</x:v>
      </x:c>
      <x:c r="I28" t="str">
        <x:v>2014/15</x:v>
      </x:c>
      <x:c r="J28" s="56" t="n">
        <x:v>0.11466666666666667</x:v>
      </x:c>
    </x:row>
    <x:row r="29">
      <x:c r="A29" t="str">
        <x:v>2015/16</x:v>
      </x:c>
      <x:c r="B29" t="n">
        <x:v>391</x:v>
      </x:c>
      <x:c r="C29" t="n">
        <x:v>413</x:v>
      </x:c>
      <x:c r="E29" t="str">
        <x:v>2023/24</x:v>
      </x:c>
      <x:c r="F29" s="56" t="n">
        <x:v>0.015209125475285171</x:v>
      </x:c>
      <x:c r="G29" s="56" t="n">
        <x:v>0.9847908745247148</x:v>
      </x:c>
      <x:c r="I29" t="str">
        <x:v>2015/16</x:v>
      </x:c>
      <x:c r="J29" s="56" t="n">
        <x:v>0.08958837772397095</x:v>
      </x:c>
    </x:row>
    <x:row r="30">
      <x:c r="A30" t="str">
        <x:v>2016/17</x:v>
      </x:c>
      <x:c r="B30" t="n">
        <x:v>418</x:v>
      </x:c>
      <x:c r="C30" t="n">
        <x:v>385</x:v>
      </x:c>
      <x:c r="E30" t="str">
        <x:v>2024/25</x:v>
      </x:c>
      <x:c r="F30" s="56" t="n">
        <x:v>0.0375</x:v>
      </x:c>
      <x:c r="G30" s="56" t="n">
        <x:v>0.9625</x:v>
      </x:c>
      <x:c r="I30" t="str">
        <x:v>2016/17</x:v>
      </x:c>
      <x:c r="J30" s="56" t="n">
        <x:v>0.08051948051948052</x:v>
      </x:c>
    </x:row>
    <x:row r="31">
      <x:c r="A31" t="str">
        <x:v>2017/18</x:v>
      </x:c>
      <x:c r="B31" t="n">
        <x:v>377</x:v>
      </x:c>
      <x:c r="C31" t="n">
        <x:v>388</x:v>
      </x:c>
      <x:c r="I31" t="str">
        <x:v>2017/18</x:v>
      </x:c>
      <x:c r="J31" s="56" t="n">
        <x:v>0.13402061855670103</x:v>
      </x:c>
    </x:row>
    <x:row r="32">
      <x:c r="A32" t="str">
        <x:v>2018/19</x:v>
      </x:c>
      <x:c r="B32" t="n">
        <x:v>348</x:v>
      </x:c>
      <x:c r="C32" t="n">
        <x:v>336</x:v>
      </x:c>
      <x:c r="I32" t="str">
        <x:v>2018/19</x:v>
      </x:c>
      <x:c r="J32" s="56" t="n">
        <x:v>0.12202380952380952</x:v>
      </x:c>
    </x:row>
    <x:row r="33">
      <x:c r="A33" t="str">
        <x:v>2019/20</x:v>
      </x:c>
      <x:c r="B33" t="n">
        <x:v>302</x:v>
      </x:c>
      <x:c r="C33" t="n">
        <x:v>318</x:v>
      </x:c>
      <x:c r="I33" t="str">
        <x:v>2019/20</x:v>
      </x:c>
      <x:c r="J33" s="56" t="n">
        <x:v>0.10377358490566038</x:v>
      </x:c>
    </x:row>
    <x:row r="34">
      <x:c r="A34" t="str">
        <x:v>2020/21</x:v>
      </x:c>
      <x:c r="B34" t="n">
        <x:v>242</x:v>
      </x:c>
      <x:c r="C34" t="n">
        <x:v>225</x:v>
      </x:c>
      <x:c r="I34" t="str">
        <x:v>2020/21</x:v>
      </x:c>
      <x:c r="J34" s="56" t="n">
        <x:v>0.1511111111111111</x:v>
      </x:c>
    </x:row>
    <x:row r="35">
      <x:c r="A35" t="str">
        <x:v>2021/22</x:v>
      </x:c>
      <x:c r="B35" t="n">
        <x:v>295</x:v>
      </x:c>
      <x:c r="C35" t="n">
        <x:v>297</x:v>
      </x:c>
      <x:c r="I35" t="str">
        <x:v>2021/22</x:v>
      </x:c>
      <x:c r="J35" s="56" t="n">
        <x:v>0.24915824915824916</x:v>
      </x:c>
    </x:row>
    <x:row r="36">
      <x:c r="A36" t="str">
        <x:v>2022/23</x:v>
      </x:c>
      <x:c r="B36" t="n">
        <x:v>273</x:v>
      </x:c>
      <x:c r="C36" t="n">
        <x:v>258</x:v>
      </x:c>
      <x:c r="I36" t="str">
        <x:v>2022/23</x:v>
      </x:c>
      <x:c r="J36" s="56" t="n">
        <x:v>0.26356589147286824</x:v>
      </x:c>
    </x:row>
    <x:row r="37">
      <x:c r="A37" t="str">
        <x:v>2023/24</x:v>
      </x:c>
      <x:c r="B37" t="n">
        <x:v>268</x:v>
      </x:c>
      <x:c r="C37" t="n">
        <x:v>266</x:v>
      </x:c>
      <x:c r="I37" t="str">
        <x:v>2023/24</x:v>
      </x:c>
      <x:c r="J37" s="56" t="n">
        <x:v>0.47368421052631576</x:v>
      </x:c>
    </x:row>
    <x:row r="38">
      <x:c r="A38" t="str">
        <x:v>2024/25</x:v>
      </x:c>
      <x:c r="B38" t="n">
        <x:v>330</x:v>
      </x:c>
      <x:c r="C38" t="n">
        <x:v>330</x:v>
      </x:c>
      <x:c r="I38" t="str">
        <x:v>2024/25</x:v>
      </x:c>
      <x:c r="J38" s="56" t="n">
        <x:v>0.3696969696969697</x:v>
      </x:c>
    </x:row>
    <x:row r="61">
      <x:c r="G61" s="17" t="str">
        <x:v>Research cautions</x:v>
      </x:c>
      <x:c r="H61" s="17"/>
      <x:c r="I61" s="17"/>
      <x:c r="J61" s="17"/>
      <x:c r="K61" s="17"/>
      <x:c r="L61" s="17"/>
      <x:c r="M61" s="17"/>
      <x:c r="N61" s="17"/>
    </x:row>
    <x:row r="62">
      <x:c r="G62" s="60" t="str">
        <x:v>Do not equate notified, finalised and approved. Finalised definitions vary by year; small mergers are selected rather than universal; Phase 1/2/3 measure complexity, not statutory size; 2009 coincides with the global recession; 2020/21 is Covid-affected; and post-2020 public-interest implementation materially changes remedy intensity.</x:v>
      </x:c>
      <x:c r="H62" s="60"/>
      <x:c r="I62" s="60"/>
      <x:c r="J62" s="60"/>
      <x:c r="K62" s="60"/>
      <x:c r="L62" s="60"/>
      <x:c r="M62" s="60"/>
      <x:c r="N62" s="60"/>
    </x:row>
    <x:row r="63">
      <x:c r="G63" s="60"/>
      <x:c r="H63" s="60"/>
      <x:c r="I63" s="60"/>
      <x:c r="J63" s="60"/>
      <x:c r="K63" s="60"/>
      <x:c r="L63" s="60"/>
      <x:c r="M63" s="60"/>
      <x:c r="N63" s="60"/>
    </x:row>
    <x:row r="64">
      <x:c r="G64" s="60"/>
      <x:c r="H64" s="60"/>
      <x:c r="I64" s="60"/>
      <x:c r="J64" s="60"/>
      <x:c r="K64" s="60"/>
      <x:c r="L64" s="60"/>
      <x:c r="M64" s="60"/>
      <x:c r="N64" s="60"/>
    </x:row>
    <x:row r="65">
      <x:c r="G65" s="60"/>
      <x:c r="H65" s="60"/>
      <x:c r="I65" s="60"/>
      <x:c r="J65" s="60"/>
      <x:c r="K65" s="60"/>
      <x:c r="L65" s="60"/>
      <x:c r="M65" s="60"/>
      <x:c r="N65" s="60"/>
    </x:row>
    <x:row r="66">
      <x:c r="G66" s="60"/>
      <x:c r="H66" s="60"/>
      <x:c r="I66" s="60"/>
      <x:c r="J66" s="60"/>
      <x:c r="K66" s="60"/>
      <x:c r="L66" s="60"/>
      <x:c r="M66" s="60"/>
      <x:c r="N66" s="60"/>
    </x:row>
    <x:row r="67">
      <x:c r="G67" s="60"/>
      <x:c r="H67" s="60"/>
      <x:c r="I67" s="60"/>
      <x:c r="J67" s="60"/>
      <x:c r="K67" s="60"/>
      <x:c r="L67" s="60"/>
      <x:c r="M67" s="60"/>
      <x:c r="N67" s="60"/>
    </x:row>
  </x:sheetData>
  <x:mergeCells>
    <x:mergeCell ref="A1:N1"/>
    <x:mergeCell ref="A2:N2"/>
    <x:mergeCell ref="A4:N4"/>
    <x:mergeCell ref="D6:N6"/>
    <x:mergeCell ref="D7:N7"/>
    <x:mergeCell ref="D8:N8"/>
    <x:mergeCell ref="D9:N9"/>
    <x:mergeCell ref="D10:N10"/>
    <x:mergeCell ref="D11:N11"/>
    <x:mergeCell ref="G61:N61"/>
    <x:mergeCell ref="G62:N67"/>
  </x:mergeCells>
  <x:pageMargins left="0.7" right="0.7" top="0.75" bottom="0.75" header="0.3" footer="0.3"/>
  <x:drawing xmlns:r="http://schemas.openxmlformats.org/officeDocument/2006/relationships" r:id="R13c4de9cd60c4a9f"/>
</x:worksheet>
</file>