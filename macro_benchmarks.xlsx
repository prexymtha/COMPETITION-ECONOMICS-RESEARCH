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rged_Annual_Data" sheetId="1" state="visible" r:id="rId3"/>
    <sheet name="Notes &amp; Sources" sheetId="2" state="visible" r:id="rId4"/>
    <sheet name="CPI_Annual" sheetId="3" state="visible" r:id="rId5"/>
    <sheet name="CPI_Monthly" sheetId="4" state="visible" r:id="rId6"/>
    <sheet name="GDP_Annual_Raw" sheetId="5" state="visible" r:id="rId7"/>
    <sheet name="GDP_Quarterly" sheetId="6" state="visible" r:id="rId8"/>
    <sheet name="MarketCap_Annual" sheetId="7" state="visible" r:id="rId9"/>
    <sheet name="MarketCap_Monthly" sheetId="8" state="visible" r:id="rId10"/>
    <sheet name="ALSI_Annual" sheetId="9" state="visible" r:id="rId11"/>
    <sheet name="ALSI_Monthly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<sst xmlns="http://schemas.openxmlformats.org/spreadsheetml/2006/main" count="1275" uniqueCount="422">
  <si>
    <t xml:space="preserve">South Africa — Merged Annual Macroeconomic Series for M&amp;A Threshold Benchmarking (1999–2026)</t>
  </si>
  <si>
    <t xml:space="preserve">CPI &amp; GDP: Stats SA | Market Capitalisation: SARB | JSE All Share Index: JSE | See "Notes &amp; Sources" tab for methodology, citations, and 2025/2026 partial-year treatment. Full monthly detail behind every series is in its own "_Monthly" tab.</t>
  </si>
  <si>
    <t xml:space="preserve">Year</t>
  </si>
  <si>
    <t xml:space="preserve">CPI Index
(Dec 2024=100)</t>
  </si>
  <si>
    <t xml:space="preserve">CPI YoY %</t>
  </si>
  <si>
    <t xml:space="preserve">Nominal GDP
(R million)</t>
  </si>
  <si>
    <t xml:space="preserve">Real GDP
(R million, 2015 prices)</t>
  </si>
  <si>
    <t xml:space="preserve">GDP Deflator
(Index, 2015=100)</t>
  </si>
  <si>
    <t xml:space="preserve">GDP Deflator
YoY %</t>
  </si>
  <si>
    <t xml:space="preserve">GNP / GNI
(R million)</t>
  </si>
  <si>
    <t xml:space="preserve">Market Capitalisation
(R million)</t>
  </si>
  <si>
    <t xml:space="preserve">JSE All Share Index
(ALSI, Annual Avg)</t>
  </si>
  <si>
    <t xml:space="preserve">n/a</t>
  </si>
  <si>
    <t xml:space="preserve">Amber row/cell = partial-year or estimated figure. Grey "n/a" = series not available for that year. See "Notes &amp; Sources" for method.</t>
  </si>
  <si>
    <t xml:space="preserve">GNP/GNI is not published in the supplied Stats SA GDP release — see "Notes &amp; Sources" for why and how it could be sourced.</t>
  </si>
  <si>
    <t xml:space="preserve">Full monthly detail behind each column: CPI_Monthly, GDP_Quarterly (Stats SA does not publish monthly GDP), MarketCap_Monthly, ALSI_Monthly.</t>
  </si>
  <si>
    <t xml:space="preserve">South African M&amp;A Threshold Benchmarking Dataset</t>
  </si>
  <si>
    <t xml:space="preserve">Merged annual macroeconomic series with full monthly/quarterly detail, 1999–2026</t>
  </si>
  <si>
    <t xml:space="preserve">Workbook structure</t>
  </si>
  <si>
    <t xml:space="preserve">Merged_Annual_Data</t>
  </si>
  <si>
    <t xml:space="preserve">Main deliverable — one row per year, 1999-2026, formula-linked to the "_Annual" / raw sheets below. Nothing here is hardcoded.</t>
  </si>
  <si>
    <t xml:space="preserve">CPI_Monthly / CPI_Annual</t>
  </si>
  <si>
    <t xml:space="preserve">Full monthly CPI index &amp; YoY%, 1999-2026 (Jul); CPI_Annual averages it up by year.</t>
  </si>
  <si>
    <t xml:space="preserve">GDP_Quarterly / GDP_Annual_Raw</t>
  </si>
  <si>
    <t xml:space="preserve">Quarterly GDP (finest grain Stats SA publishes — there is no monthly GDP series) and the annual roll-up.</t>
  </si>
  <si>
    <t xml:space="preserve">MarketCap_Monthly / MarketCap_Annual</t>
  </si>
  <si>
    <t xml:space="preserve">Full monthly SARB market cap series and the annual roll-up.</t>
  </si>
  <si>
    <t xml:space="preserve">ALSI_Monthly / ALSI_Annual</t>
  </si>
  <si>
    <t xml:space="preserve">Full monthly JSE All Share Index series and the annual roll-up.</t>
  </si>
  <si>
    <t xml:space="preserve">Series included &amp; sources</t>
  </si>
  <si>
    <t xml:space="preserve">CPI headline index (Dec 2024 = 100) &amp; YoY %</t>
  </si>
  <si>
    <t xml:space="preserve">Stats SA — CPI History release, Table B1 (index) &amp; Table B2 (YoY rates), as provided (CPIHistory.pdf). Full monthly detail 1999-2026 (Jul) is in CPI_Monthly.</t>
  </si>
  <si>
    <t xml:space="preserve">Nominal &amp; Real GDP at market prices (R million)</t>
  </si>
  <si>
    <t xml:space="preserve">Stats SA — P0441 GDP Time Series, Q1 2026 release. Annual series (AN1000/AR1000) run 1999-2025; quarterly series (QNU1000/QRU1000) run through 2026Q1 and are in GDP_Quarterly. No monthly GDP exists — quarterly is the finest granularity Stats SA publishes.</t>
  </si>
  <si>
    <t xml:space="preserve">GDP Deflator (index, 2015 = 100)</t>
  </si>
  <si>
    <t xml:space="preserve">Calculated, not separately published: Nominal GDP ÷ Real GDP × 100.</t>
  </si>
  <si>
    <t xml:space="preserve">GNP / GNI</t>
  </si>
  <si>
    <t xml:space="preserve">NOT AVAILABLE in the supplied Stats SA GDP release (P0441 covers domestic production only, no net primary income from abroad). Left as "n/a". Could be sourced from SARB Quarterly Bulletin KBP series if needed.</t>
  </si>
  <si>
    <t xml:space="preserve">Stock market capitalisation, JSE all exchanges (R million)</t>
  </si>
  <si>
    <t xml:space="preserve">SARB — series KBP2170J (annual, year-end) for 1999-2024, and KBP2170M (monthly, month-end) for the rest / for the monthly detail sheet. Full monthly series 1999-2026 is in MarketCap_Monthly.</t>
  </si>
  <si>
    <t xml:space="preserve">JSE All Share Index (ALSI, J203 Value)</t>
  </si>
  <si>
    <t xml:space="preserve">JSE — monthly closing index values, as supplied (Monthly_ALSI_Values_JSE.xlsx). History in the supplied file starts June 2002 — no data for 1999-2001, and 2002 is a partial year (Jun-Dec only). Full monthly detail (including Capped SWIX / J303, dividend yield, earnings yield columns) is in ALSI_Monthly; only the J203 Alsi Value (price index level) is carried into the main merged sheet, since it isolates price moves from the market-cap series, which reflects both price AND the number/size of listed shares.</t>
  </si>
  <si>
    <t xml:space="preserve">2025 / 2026 (and 2002) partial-year calculation method</t>
  </si>
  <si>
    <t xml:space="preserve">CPI 2026</t>
  </si>
  <si>
    <t xml:space="preserve">Average of the 7 published monthly index values (Jan-Jul 2026) and of the 7 published monthly YoY rates.</t>
  </si>
  <si>
    <t xml:space="preserve">Market cap 2025</t>
  </si>
  <si>
    <t xml:space="preserve">December 2025 month-end value taken directly (matches how the annual series is defined for every other year).</t>
  </si>
  <si>
    <t xml:space="preserve">Market cap 2026</t>
  </si>
  <si>
    <t xml:space="preserve">Average of the 5 published monthly month-end values (Jan-May 2026) — the year is incomplete.</t>
  </si>
  <si>
    <t xml:space="preserve">Nominal &amp; Real GDP 2026</t>
  </si>
  <si>
    <t xml:space="preserve">Trailing four-quarter sum (2025Q2+2025Q3+2025Q4+2026Q1) of quarterly actuals. NOT an official Stats SA annual figure.</t>
  </si>
  <si>
    <t xml:space="preserve">ALSI 2002</t>
  </si>
  <si>
    <t xml:space="preserve">Average of the 7 published monthly values (Jun-Dec 2002) — no data before June 2002.</t>
  </si>
  <si>
    <t xml:space="preserve">ALSI 2026</t>
  </si>
  <si>
    <t xml:space="preserve">Average of the 7 published monthly values (Jan-Jul 2026).</t>
  </si>
  <si>
    <t xml:space="preserve">M&amp;A threshold benchmarking — how each series fits South Africa's asset/turnover test</t>
  </si>
  <si>
    <t xml:space="preserve">Nominal GDP</t>
  </si>
  <si>
    <t xml:space="preserve">Turnover thresholds are nominal Rand figures on an income statement — nominal GDP is the natural macro proxy for how aggregate firm turnover scales over time.</t>
  </si>
  <si>
    <t xml:space="preserve">CPI vs GDP Deflator</t>
  </si>
  <si>
    <t xml:space="preserve">Both are candidate indexation benchmarks. GDP deflator prices the whole economy's output and may track firm turnover/assets more closely than CPI, which is a consumer basket. Worth comparing both.</t>
  </si>
  <si>
    <t xml:space="preserve">Market capitalisation</t>
  </si>
  <si>
    <t xml:space="preserve">A genuine proxy for the asset-value side of the threshold, but covers listed firms only — most merger notifications involve unlisted firms, so treat as directional, not primary.</t>
  </si>
  <si>
    <t xml:space="preserve">JSE All Share Index</t>
  </si>
  <si>
    <t xml:space="preserve">Isolates price/valuation moves specifically (unlike market cap, which also moves with listings/delistings and share issuance) — useful to separate "the market grew because prices rose" from "the market grew because more/bigger firms listed."</t>
  </si>
  <si>
    <t xml:space="preserve">Producer Price Index (PPI) — not yet in this workbook</t>
  </si>
  <si>
    <t xml:space="preserve">Discussed separately: the "Metals, machinery, equipment and computing equipment" sub-index of Stats SA's Final Manufactured Goods PPI (Table 1) is the closest real published proxy for machinery/capital-asset price inflation, arguably better suited to an asset threshold than CPI. Can be added on request.</t>
  </si>
  <si>
    <t xml:space="preserve">Colour legend</t>
  </si>
  <si>
    <t xml:space="preserve">Blue text</t>
  </si>
  <si>
    <t xml:space="preserve">Hardcoded source figure, copied directly from the cited release.</t>
  </si>
  <si>
    <t xml:space="preserve">Black text</t>
  </si>
  <si>
    <t xml:space="preserve">Formula calculated from other cells in this workbook.</t>
  </si>
  <si>
    <t xml:space="preserve">Amber fill</t>
  </si>
  <si>
    <t xml:space="preserve">Partial-year / non-official estimate.</t>
  </si>
  <si>
    <t xml:space="preserve">Grey "n/a"</t>
  </si>
  <si>
    <t xml:space="preserve">Series not available for that year (no data exists / was published).</t>
  </si>
  <si>
    <t xml:space="preserve">CPI headline, annual — average of CPI_Monthly. 1999-2025 = full-year average; 2026 = partial year (Jan-Jul only, published so far)</t>
  </si>
  <si>
    <t xml:space="preserve">CPI Index (Annual Average)</t>
  </si>
  <si>
    <t xml:space="preserve">CPI YoY % (Annual Average)</t>
  </si>
  <si>
    <t xml:space="preserve">Note</t>
  </si>
  <si>
    <t xml:space="preserve">Partial year (Jan-Jul only)</t>
  </si>
  <si>
    <t xml:space="preserve">CPI headline, monthly — Stats SA, CPI History release (Table B1 index, Table B2 YoY %)</t>
  </si>
  <si>
    <t xml:space="preserve">Month</t>
  </si>
  <si>
    <t xml:space="preserve">CPI Index (Dec 2024=100)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</si>
  <si>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</si>
  <si>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</si>
  <si>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</si>
  <si>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</si>
  <si>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</si>
  <si>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</si>
  <si>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</si>
  <si>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</si>
  <si>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</si>
  <si>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</si>
  <si>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</si>
  <si>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</si>
  <si>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GDP at market prices, annual — Stats SA P0441 Q1 2026, "Annual" sheet (AN1000 / AR1000); 2026 estimated from trailing 4 quarters, see GDP_Quarterly</t>
  </si>
  <si>
    <t xml:space="preserve">Nominal GDP (R million, current prices)</t>
  </si>
  <si>
    <t xml:space="preserve">Real GDP (R million, 2015 prices)</t>
  </si>
  <si>
    <t xml:space="preserve">Trailing 4-quarter sum (2025Q2-2026Q1), NOT an official Stats SA annual figure</t>
  </si>
  <si>
    <t xml:space="preserve">GDP at market prices, quarterly (actual, not seasonally adjusted) — Stats SA P0441 Q1 2026, "Quarterly" sheet (QNU1000 / QRU1000)</t>
  </si>
  <si>
    <t xml:space="preserve">Note: Stats SA does not publish a monthly GDP series — quarterly is the finest granularity available. Shown here as the monthly-equivalent detail sheet for GDP.</t>
  </si>
  <si>
    <t xml:space="preserve">Quarter</t>
  </si>
  <si>
    <t xml:space="preserve">Nominal GDP (R million)</t>
  </si>
  <si>
    <t xml:space="preserve">Q1</t>
  </si>
  <si>
    <t xml:space="preserve">Q2</t>
  </si>
  <si>
    <t xml:space="preserve">Q3</t>
  </si>
  <si>
    <t xml:space="preserve">Q4</t>
  </si>
  <si>
    <t xml:space="preserve">JSE market capitalisation, annual — SARB. 1999-2025 = December (year-end) month-end value; 2026 = average of Jan-May 2026 (partial year, year-end not yet available)</t>
  </si>
  <si>
    <t xml:space="preserve">Market Capitalisation (R million)</t>
  </si>
  <si>
    <t xml:space="preserve">Basis</t>
  </si>
  <si>
    <t xml:space="preserve">Year-end (December)</t>
  </si>
  <si>
    <t xml:space="preserve">Average of Jan-May (partial year)</t>
  </si>
  <si>
    <t xml:space="preserve">Partial year, indicative only</t>
  </si>
  <si>
    <t xml:space="preserve">JSE all-exchanges market capitalisation, monthly — SARB, series KBP2170M (R million, month-end)</t>
  </si>
  <si>
    <t xml:space="preserve">JSE All Share Index, annual average of month-end closes — JSE. No data before June 2002; 2002 and 2026 are partial years.</t>
  </si>
  <si>
    <t xml:space="preserve">ALSI Index (Annual Average, J203 Value)</t>
  </si>
  <si>
    <t xml:space="preserve">No data</t>
  </si>
  <si>
    <t xml:space="preserve">JSE ALSI history in the supplied file starts June 2002</t>
  </si>
  <si>
    <t xml:space="preserve">Average of Jun-Dec (partial year)</t>
  </si>
  <si>
    <t xml:space="preserve">Partial year</t>
  </si>
  <si>
    <t xml:space="preserve">Full-year average</t>
  </si>
  <si>
    <t xml:space="preserve">Average of Jan-Jul (partial year)</t>
  </si>
  <si>
    <t xml:space="preserve">JSE All Share Index (ALSI), monthly closing values — JSE</t>
  </si>
  <si>
    <t xml:space="preserve">Date</t>
  </si>
  <si>
    <t xml:space="preserve">J203 - Alsi Value</t>
  </si>
  <si>
    <t xml:space="preserve">J203 - Alsi TRI</t>
  </si>
  <si>
    <t xml:space="preserve">J203 - Alsi DY (%)</t>
  </si>
  <si>
    <t xml:space="preserve">J203 - Alsi EY (%)</t>
  </si>
  <si>
    <t xml:space="preserve">J303 - Capi Value</t>
  </si>
  <si>
    <t xml:space="preserve">J303 - Capi TRI</t>
  </si>
  <si>
    <t xml:space="preserve">J303 - Capi DY (%)</t>
  </si>
  <si>
    <t xml:space="preserve">J303 - Capi EY (%)</t>
  </si>
  <si>
    <t xml:space="preserve">2002-06-28</t>
  </si>
  <si>
    <t xml:space="preserve">2002-07-31</t>
  </si>
  <si>
    <t xml:space="preserve">2002-08-30</t>
  </si>
  <si>
    <t xml:space="preserve">2002-09-30</t>
  </si>
  <si>
    <t xml:space="preserve">2002-10-31</t>
  </si>
  <si>
    <t xml:space="preserve">2002-11-29</t>
  </si>
  <si>
    <t xml:space="preserve">2002-12-31</t>
  </si>
  <si>
    <t xml:space="preserve">2003-01-31</t>
  </si>
  <si>
    <t xml:space="preserve">2003-02-28</t>
  </si>
  <si>
    <t xml:space="preserve">2003-03-31</t>
  </si>
  <si>
    <t xml:space="preserve">2003-04-30</t>
  </si>
  <si>
    <t xml:space="preserve">2003-05-30</t>
  </si>
  <si>
    <t xml:space="preserve">2003-06-30</t>
  </si>
  <si>
    <t xml:space="preserve">2003-07-31</t>
  </si>
  <si>
    <t xml:space="preserve">2003-08-29</t>
  </si>
  <si>
    <t xml:space="preserve">2003-09-30</t>
  </si>
  <si>
    <t xml:space="preserve">2003-10-31</t>
  </si>
  <si>
    <t xml:space="preserve">2003-11-28</t>
  </si>
  <si>
    <t xml:space="preserve">2003-12-31</t>
  </si>
  <si>
    <t xml:space="preserve">2004-01-30</t>
  </si>
  <si>
    <t xml:space="preserve">2004-02-27</t>
  </si>
  <si>
    <t xml:space="preserve">2004-03-31</t>
  </si>
  <si>
    <t xml:space="preserve">2004-04-30</t>
  </si>
  <si>
    <t xml:space="preserve">2004-05-31</t>
  </si>
  <si>
    <t xml:space="preserve">2004-06-30</t>
  </si>
  <si>
    <t xml:space="preserve">2004-07-30</t>
  </si>
  <si>
    <t xml:space="preserve">2004-08-31</t>
  </si>
  <si>
    <t xml:space="preserve">2004-09-30</t>
  </si>
  <si>
    <t xml:space="preserve">2004-10-29</t>
  </si>
  <si>
    <t xml:space="preserve">2004-11-30</t>
  </si>
  <si>
    <t xml:space="preserve">2004-12-31</t>
  </si>
  <si>
    <t xml:space="preserve">2005-01-31</t>
  </si>
  <si>
    <t xml:space="preserve">2005-02-28</t>
  </si>
  <si>
    <t xml:space="preserve">2005-03-31</t>
  </si>
  <si>
    <t xml:space="preserve">2005-04-29</t>
  </si>
  <si>
    <t xml:space="preserve">2005-05-31</t>
  </si>
  <si>
    <t xml:space="preserve">2005-06-30</t>
  </si>
  <si>
    <t xml:space="preserve">2005-07-29</t>
  </si>
  <si>
    <t xml:space="preserve">2005-08-31</t>
  </si>
  <si>
    <t xml:space="preserve">2005-09-30</t>
  </si>
  <si>
    <t xml:space="preserve">2005-10-31</t>
  </si>
  <si>
    <t xml:space="preserve">2005-11-30</t>
  </si>
  <si>
    <t xml:space="preserve">2005-12-30</t>
  </si>
  <si>
    <t xml:space="preserve">2006-01-31</t>
  </si>
  <si>
    <t xml:space="preserve">2006-02-28</t>
  </si>
  <si>
    <t xml:space="preserve">2006-03-31</t>
  </si>
  <si>
    <t xml:space="preserve">2006-04-28</t>
  </si>
  <si>
    <t xml:space="preserve">2006-05-31</t>
  </si>
  <si>
    <t xml:space="preserve">2006-06-30</t>
  </si>
  <si>
    <t xml:space="preserve">2006-07-31</t>
  </si>
  <si>
    <t xml:space="preserve">2006-08-31</t>
  </si>
  <si>
    <t xml:space="preserve">2006-09-29</t>
  </si>
  <si>
    <t xml:space="preserve">2006-10-31</t>
  </si>
  <si>
    <t xml:space="preserve">2006-11-30</t>
  </si>
  <si>
    <t xml:space="preserve">2006-12-29</t>
  </si>
  <si>
    <t xml:space="preserve">2007-01-31</t>
  </si>
  <si>
    <t xml:space="preserve">2007-02-28</t>
  </si>
  <si>
    <t xml:space="preserve">2007-03-30</t>
  </si>
  <si>
    <t xml:space="preserve">2007-04-30</t>
  </si>
  <si>
    <t xml:space="preserve">2007-05-31</t>
  </si>
  <si>
    <t xml:space="preserve">2007-06-29</t>
  </si>
  <si>
    <t xml:space="preserve">2007-07-31</t>
  </si>
  <si>
    <t xml:space="preserve">2007-08-31</t>
  </si>
  <si>
    <t xml:space="preserve">2007-09-28</t>
  </si>
  <si>
    <t xml:space="preserve">2007-10-31</t>
  </si>
  <si>
    <t xml:space="preserve">2007-11-30</t>
  </si>
  <si>
    <t xml:space="preserve">2007-12-31</t>
  </si>
  <si>
    <t xml:space="preserve">2008-01-31</t>
  </si>
  <si>
    <t xml:space="preserve">2008-02-29</t>
  </si>
  <si>
    <t xml:space="preserve">2008-03-31</t>
  </si>
  <si>
    <t xml:space="preserve">2008-04-30</t>
  </si>
  <si>
    <t xml:space="preserve">2008-05-30</t>
  </si>
  <si>
    <t xml:space="preserve">2008-06-30</t>
  </si>
  <si>
    <t xml:space="preserve">2008-07-31</t>
  </si>
  <si>
    <t xml:space="preserve">2008-08-29</t>
  </si>
  <si>
    <t xml:space="preserve">2008-09-30</t>
  </si>
  <si>
    <t xml:space="preserve">2008-10-31</t>
  </si>
  <si>
    <t xml:space="preserve">2008-11-28</t>
  </si>
  <si>
    <t xml:space="preserve">2008-12-31</t>
  </si>
  <si>
    <t xml:space="preserve">2009-01-30</t>
  </si>
  <si>
    <t xml:space="preserve">2009-02-27</t>
  </si>
  <si>
    <t xml:space="preserve">2009-03-31</t>
  </si>
  <si>
    <t xml:space="preserve">2009-04-30</t>
  </si>
  <si>
    <t xml:space="preserve">2009-05-29</t>
  </si>
  <si>
    <t xml:space="preserve">2009-06-30</t>
  </si>
  <si>
    <t xml:space="preserve">2009-07-31</t>
  </si>
  <si>
    <t xml:space="preserve">2009-08-31</t>
  </si>
  <si>
    <t xml:space="preserve">2009-09-30</t>
  </si>
  <si>
    <t xml:space="preserve">2009-10-30</t>
  </si>
  <si>
    <t xml:space="preserve">2009-11-30</t>
  </si>
  <si>
    <t xml:space="preserve">2009-12-31</t>
  </si>
  <si>
    <t xml:space="preserve">2010-01-29</t>
  </si>
  <si>
    <t xml:space="preserve">2010-02-26</t>
  </si>
  <si>
    <t xml:space="preserve">2010-03-31</t>
  </si>
  <si>
    <t xml:space="preserve">2010-04-30</t>
  </si>
  <si>
    <t xml:space="preserve">2010-05-31</t>
  </si>
  <si>
    <t xml:space="preserve">2010-06-30</t>
  </si>
  <si>
    <t xml:space="preserve">2010-07-30</t>
  </si>
  <si>
    <t xml:space="preserve">2010-08-31</t>
  </si>
  <si>
    <t xml:space="preserve">2010-09-30</t>
  </si>
  <si>
    <t xml:space="preserve">2010-10-29</t>
  </si>
  <si>
    <t xml:space="preserve">2010-11-30</t>
  </si>
  <si>
    <t xml:space="preserve">2010-12-31</t>
  </si>
  <si>
    <t xml:space="preserve">2011-01-31</t>
  </si>
  <si>
    <t xml:space="preserve">2011-02-28</t>
  </si>
  <si>
    <t xml:space="preserve">2011-03-31</t>
  </si>
  <si>
    <t xml:space="preserve">2011-04-29</t>
  </si>
  <si>
    <t xml:space="preserve">2011-05-31</t>
  </si>
  <si>
    <t xml:space="preserve">2011-06-30</t>
  </si>
  <si>
    <t xml:space="preserve">2011-07-29</t>
  </si>
  <si>
    <t xml:space="preserve">2011-08-31</t>
  </si>
  <si>
    <t xml:space="preserve">2011-09-30</t>
  </si>
  <si>
    <t xml:space="preserve">2011-10-31</t>
  </si>
  <si>
    <t xml:space="preserve">2011-11-30</t>
  </si>
  <si>
    <t xml:space="preserve">2011-12-30</t>
  </si>
  <si>
    <t xml:space="preserve">2012-01-31</t>
  </si>
  <si>
    <t xml:space="preserve">2012-02-29</t>
  </si>
  <si>
    <t xml:space="preserve">2012-03-30</t>
  </si>
  <si>
    <t xml:space="preserve">2012-04-30</t>
  </si>
  <si>
    <t xml:space="preserve">2012-05-31</t>
  </si>
  <si>
    <t xml:space="preserve">2012-06-29</t>
  </si>
  <si>
    <t xml:space="preserve">2012-07-31</t>
  </si>
  <si>
    <t xml:space="preserve">2012-08-31</t>
  </si>
  <si>
    <t xml:space="preserve">2012-09-28</t>
  </si>
  <si>
    <t xml:space="preserve">2012-10-31</t>
  </si>
  <si>
    <t xml:space="preserve">2012-11-30</t>
  </si>
  <si>
    <t xml:space="preserve">2012-12-31</t>
  </si>
  <si>
    <t xml:space="preserve">2013-01-31</t>
  </si>
  <si>
    <t xml:space="preserve">2013-02-28</t>
  </si>
  <si>
    <t xml:space="preserve">2013-03-28</t>
  </si>
  <si>
    <t xml:space="preserve">2013-04-30</t>
  </si>
  <si>
    <t xml:space="preserve">2013-05-31</t>
  </si>
  <si>
    <t xml:space="preserve">2013-06-28</t>
  </si>
  <si>
    <t xml:space="preserve">2013-07-31</t>
  </si>
  <si>
    <t xml:space="preserve">2013-08-30</t>
  </si>
  <si>
    <t xml:space="preserve">2013-09-30</t>
  </si>
  <si>
    <t xml:space="preserve">2013-10-31</t>
  </si>
  <si>
    <t xml:space="preserve">2013-11-29</t>
  </si>
  <si>
    <t xml:space="preserve">2013-12-31</t>
  </si>
  <si>
    <t xml:space="preserve">2014-01-31</t>
  </si>
  <si>
    <t xml:space="preserve">2014-02-28</t>
  </si>
  <si>
    <t xml:space="preserve">2014-03-31</t>
  </si>
  <si>
    <t xml:space="preserve">2014-04-30</t>
  </si>
  <si>
    <t xml:space="preserve">2014-05-30</t>
  </si>
  <si>
    <t xml:space="preserve">2014-06-30</t>
  </si>
  <si>
    <t xml:space="preserve">2014-07-31</t>
  </si>
  <si>
    <t xml:space="preserve">2014-08-29</t>
  </si>
  <si>
    <t xml:space="preserve">2014-09-30</t>
  </si>
  <si>
    <t xml:space="preserve">2014-10-31</t>
  </si>
  <si>
    <t xml:space="preserve">2014-11-28</t>
  </si>
  <si>
    <t xml:space="preserve">2014-12-31</t>
  </si>
  <si>
    <t xml:space="preserve">2015-01-30</t>
  </si>
  <si>
    <t xml:space="preserve">2015-02-27</t>
  </si>
  <si>
    <t xml:space="preserve">2015-03-31</t>
  </si>
  <si>
    <t xml:space="preserve">2015-04-30</t>
  </si>
  <si>
    <t xml:space="preserve">2015-05-29</t>
  </si>
  <si>
    <t xml:space="preserve">2015-06-30</t>
  </si>
  <si>
    <t xml:space="preserve">2015-07-31</t>
  </si>
  <si>
    <t xml:space="preserve">2015-08-31</t>
  </si>
  <si>
    <t xml:space="preserve">2015-09-30</t>
  </si>
  <si>
    <t xml:space="preserve">2015-10-30</t>
  </si>
  <si>
    <t xml:space="preserve">2015-11-30</t>
  </si>
  <si>
    <t xml:space="preserve">2015-12-31</t>
  </si>
  <si>
    <t xml:space="preserve">2016-01-29</t>
  </si>
  <si>
    <t xml:space="preserve">2016-02-29</t>
  </si>
  <si>
    <t xml:space="preserve">2016-03-31</t>
  </si>
  <si>
    <t xml:space="preserve">2016-04-29</t>
  </si>
  <si>
    <t xml:space="preserve">2016-05-31</t>
  </si>
  <si>
    <t xml:space="preserve">2016-06-30</t>
  </si>
  <si>
    <t xml:space="preserve">2016-07-29</t>
  </si>
  <si>
    <t xml:space="preserve">2016-08-31</t>
  </si>
  <si>
    <t xml:space="preserve">2016-09-30</t>
  </si>
  <si>
    <t xml:space="preserve">2016-10-31</t>
  </si>
  <si>
    <t xml:space="preserve">2016-11-30</t>
  </si>
  <si>
    <t xml:space="preserve">2016-12-30</t>
  </si>
  <si>
    <t xml:space="preserve">2017-01-31</t>
  </si>
  <si>
    <t xml:space="preserve">2017-02-28</t>
  </si>
  <si>
    <t xml:space="preserve">2017-03-31</t>
  </si>
  <si>
    <t xml:space="preserve">2017-04-28</t>
  </si>
  <si>
    <t xml:space="preserve">2017-05-31</t>
  </si>
  <si>
    <t xml:space="preserve">2017-06-30</t>
  </si>
  <si>
    <t xml:space="preserve">2017-07-31</t>
  </si>
  <si>
    <t xml:space="preserve">2017-08-31</t>
  </si>
  <si>
    <t xml:space="preserve">2017-09-29</t>
  </si>
  <si>
    <t xml:space="preserve">2017-10-31</t>
  </si>
  <si>
    <t xml:space="preserve">2017-11-30</t>
  </si>
  <si>
    <t xml:space="preserve">2017-12-29</t>
  </si>
  <si>
    <t xml:space="preserve">2018-01-31</t>
  </si>
  <si>
    <t xml:space="preserve">2018-02-28</t>
  </si>
  <si>
    <t xml:space="preserve">2018-03-29</t>
  </si>
  <si>
    <t xml:space="preserve">2018-04-30</t>
  </si>
  <si>
    <t xml:space="preserve">2018-05-31</t>
  </si>
  <si>
    <t xml:space="preserve">2018-06-29</t>
  </si>
  <si>
    <t xml:space="preserve">2018-07-31</t>
  </si>
  <si>
    <t xml:space="preserve">2018-08-31</t>
  </si>
  <si>
    <t xml:space="preserve">2018-09-28</t>
  </si>
  <si>
    <t xml:space="preserve">2018-10-31</t>
  </si>
  <si>
    <t xml:space="preserve">2018-11-30</t>
  </si>
  <si>
    <t xml:space="preserve">2018-12-31</t>
  </si>
  <si>
    <t xml:space="preserve">2019-01-31</t>
  </si>
  <si>
    <t xml:space="preserve">2019-02-28</t>
  </si>
  <si>
    <t xml:space="preserve">2019-03-29</t>
  </si>
  <si>
    <t xml:space="preserve">2019-04-30</t>
  </si>
  <si>
    <t xml:space="preserve">2019-05-31</t>
  </si>
  <si>
    <t xml:space="preserve">2019-06-28</t>
  </si>
  <si>
    <t xml:space="preserve">2019-07-31</t>
  </si>
  <si>
    <t xml:space="preserve">2019-08-30</t>
  </si>
  <si>
    <t xml:space="preserve">2019-09-30</t>
  </si>
  <si>
    <t xml:space="preserve">2019-10-31</t>
  </si>
  <si>
    <t xml:space="preserve">2019-11-29</t>
  </si>
  <si>
    <t xml:space="preserve">2019-12-31</t>
  </si>
  <si>
    <t xml:space="preserve">2020-01-31</t>
  </si>
  <si>
    <t xml:space="preserve">2020-02-28</t>
  </si>
  <si>
    <t xml:space="preserve">2020-03-31</t>
  </si>
  <si>
    <t xml:space="preserve">2020-04-30</t>
  </si>
  <si>
    <t xml:space="preserve">2020-05-29</t>
  </si>
  <si>
    <t xml:space="preserve">2020-06-30</t>
  </si>
  <si>
    <t xml:space="preserve">2020-07-31</t>
  </si>
  <si>
    <t xml:space="preserve">2020-08-31</t>
  </si>
  <si>
    <t xml:space="preserve">2020-09-30</t>
  </si>
  <si>
    <t xml:space="preserve">2020-10-30</t>
  </si>
  <si>
    <t xml:space="preserve">2020-11-30</t>
  </si>
  <si>
    <t xml:space="preserve">2020-12-31</t>
  </si>
  <si>
    <t xml:space="preserve">2021-01-29</t>
  </si>
  <si>
    <t xml:space="preserve">2021-02-26</t>
  </si>
  <si>
    <t xml:space="preserve">2021-03-31</t>
  </si>
  <si>
    <t xml:space="preserve">2021-04-30</t>
  </si>
  <si>
    <t xml:space="preserve">2021-05-31</t>
  </si>
  <si>
    <t xml:space="preserve">2021-06-30</t>
  </si>
  <si>
    <t xml:space="preserve">2021-07-30</t>
  </si>
  <si>
    <t xml:space="preserve">2021-08-31</t>
  </si>
  <si>
    <t xml:space="preserve">2021-09-30</t>
  </si>
  <si>
    <t xml:space="preserve">2021-10-29</t>
  </si>
  <si>
    <t xml:space="preserve">2021-11-30</t>
  </si>
  <si>
    <t xml:space="preserve">2021-12-31</t>
  </si>
  <si>
    <t xml:space="preserve">2022-01-31</t>
  </si>
  <si>
    <t xml:space="preserve">2022-02-28</t>
  </si>
  <si>
    <t xml:space="preserve">2022-03-31</t>
  </si>
  <si>
    <t xml:space="preserve">2022-04-29</t>
  </si>
  <si>
    <t xml:space="preserve">2022-05-31</t>
  </si>
  <si>
    <t xml:space="preserve">2022-06-30</t>
  </si>
  <si>
    <t xml:space="preserve">2022-07-29</t>
  </si>
  <si>
    <t xml:space="preserve">2022-08-31</t>
  </si>
  <si>
    <t xml:space="preserve">2022-09-30</t>
  </si>
  <si>
    <t xml:space="preserve">2022-10-31</t>
  </si>
  <si>
    <t xml:space="preserve">2022-11-30</t>
  </si>
  <si>
    <t xml:space="preserve">2022-12-30</t>
  </si>
  <si>
    <t xml:space="preserve">2023-01-31</t>
  </si>
  <si>
    <t xml:space="preserve">2023-02-28</t>
  </si>
  <si>
    <t xml:space="preserve">2023-03-31</t>
  </si>
  <si>
    <t xml:space="preserve">2023-04-28</t>
  </si>
  <si>
    <t xml:space="preserve">2023-05-31</t>
  </si>
  <si>
    <t xml:space="preserve">2023-06-30</t>
  </si>
  <si>
    <t xml:space="preserve">2023-07-31</t>
  </si>
  <si>
    <t xml:space="preserve">2023-08-31</t>
  </si>
  <si>
    <t xml:space="preserve">2023-09-29</t>
  </si>
  <si>
    <t xml:space="preserve">2023-10-31</t>
  </si>
  <si>
    <t xml:space="preserve">2023-11-30</t>
  </si>
  <si>
    <t xml:space="preserve">2023-12-29</t>
  </si>
  <si>
    <t xml:space="preserve">2024-01-31</t>
  </si>
  <si>
    <t xml:space="preserve">2024-02-29</t>
  </si>
  <si>
    <t xml:space="preserve">2024-03-28</t>
  </si>
  <si>
    <t xml:space="preserve">2024-04-30</t>
  </si>
  <si>
    <t xml:space="preserve">2024-05-31</t>
  </si>
  <si>
    <t xml:space="preserve">2024-06-28</t>
  </si>
  <si>
    <t xml:space="preserve">2024-07-31</t>
  </si>
  <si>
    <t xml:space="preserve">2024-08-30</t>
  </si>
  <si>
    <t xml:space="preserve">2024-09-30</t>
  </si>
  <si>
    <t xml:space="preserve">2024-10-31</t>
  </si>
  <si>
    <t xml:space="preserve">2024-11-29</t>
  </si>
  <si>
    <t xml:space="preserve">2024-12-31</t>
  </si>
  <si>
    <t xml:space="preserve">2025-01-31</t>
  </si>
  <si>
    <t xml:space="preserve">2025-02-28</t>
  </si>
  <si>
    <t xml:space="preserve">2025-03-31</t>
  </si>
  <si>
    <t xml:space="preserve">2025-04-30</t>
  </si>
  <si>
    <t xml:space="preserve">2025-05-30</t>
  </si>
  <si>
    <t xml:space="preserve">2025-06-30</t>
  </si>
  <si>
    <t xml:space="preserve">2025-07-31</t>
  </si>
  <si>
    <t xml:space="preserve">2025-08-29</t>
  </si>
  <si>
    <t xml:space="preserve">2025-09-30</t>
  </si>
  <si>
    <t xml:space="preserve">2025-10-31</t>
  </si>
  <si>
    <t xml:space="preserve">2025-11-28</t>
  </si>
  <si>
    <t xml:space="preserve">2025-12-31</t>
  </si>
  <si>
    <t xml:space="preserve">2026-01-30</t>
  </si>
  <si>
    <t xml:space="preserve">2026-02-27</t>
  </si>
  <si>
    <t xml:space="preserve">2026-03-31</t>
  </si>
  <si>
    <t xml:space="preserve">2026-04-30</t>
  </si>
  <si>
    <t xml:space="preserve">2026-05-29</t>
  </si>
  <si>
    <t xml:space="preserve">2026-06-30</t>
  </si>
  <si>
    <t xml:space="preserve">2026-07-31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</si>
</sst>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"/>
    <numFmt numFmtId="166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2F2F2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10" min="2" style="0" width="18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1999</v>
      </c>
      <c r="B5" s="5" t="n">
        <f aca="false">CPI_Annual!B4</f>
        <v>26.1666666666667</v>
      </c>
      <c r="C5" s="5" t="n">
        <f aca="false">CPI_Annual!C4</f>
        <v>5.275</v>
      </c>
      <c r="D5" s="6" t="n">
        <f aca="false">GDP_Annual_Raw!B4</f>
        <v>925690.4</v>
      </c>
      <c r="E5" s="6" t="n">
        <f aca="false">GDP_Annual_Raw!C4</f>
        <v>2712790.6</v>
      </c>
      <c r="F5" s="5" t="n">
        <f aca="false">IFERROR(D5/E5*100,"")</f>
        <v>34.1231792826177</v>
      </c>
      <c r="G5" s="5"/>
      <c r="H5" s="7" t="s">
        <v>12</v>
      </c>
      <c r="I5" s="6" t="n">
        <f aca="false">MarketCap_Annual!B4</f>
        <v>1616207</v>
      </c>
      <c r="J5" s="8" t="s">
        <v>12</v>
      </c>
    </row>
    <row r="6" customFormat="false" ht="15" hidden="false" customHeight="false" outlineLevel="0" collapsed="false">
      <c r="A6" s="4" t="n">
        <v>2000</v>
      </c>
      <c r="B6" s="5" t="n">
        <f aca="false">CPI_Annual!B5</f>
        <v>27.5833333333333</v>
      </c>
      <c r="C6" s="5" t="n">
        <f aca="false">CPI_Annual!C5</f>
        <v>5.325</v>
      </c>
      <c r="D6" s="6" t="n">
        <f aca="false">GDP_Annual_Raw!B5</f>
        <v>1053138</v>
      </c>
      <c r="E6" s="6" t="n">
        <f aca="false">GDP_Annual_Raw!C5</f>
        <v>2826727.8</v>
      </c>
      <c r="F6" s="5" t="n">
        <f aca="false">IFERROR(D6/E6*100,"")</f>
        <v>37.2564348077661</v>
      </c>
      <c r="G6" s="5" t="n">
        <f aca="false">IFERROR((F6/F5-1)*100,"")</f>
        <v>9.18219108248353</v>
      </c>
      <c r="H6" s="7" t="s">
        <v>12</v>
      </c>
      <c r="I6" s="6" t="n">
        <f aca="false">MarketCap_Annual!B5</f>
        <v>1551489</v>
      </c>
      <c r="J6" s="8" t="s">
        <v>12</v>
      </c>
    </row>
    <row r="7" customFormat="false" ht="15" hidden="false" customHeight="false" outlineLevel="0" collapsed="false">
      <c r="A7" s="4" t="n">
        <v>2001</v>
      </c>
      <c r="B7" s="5" t="n">
        <f aca="false">CPI_Annual!B6</f>
        <v>29.15</v>
      </c>
      <c r="C7" s="5" t="n">
        <f aca="false">CPI_Annual!C6</f>
        <v>5.725</v>
      </c>
      <c r="D7" s="6" t="n">
        <f aca="false">GDP_Annual_Raw!B6</f>
        <v>1165940.6</v>
      </c>
      <c r="E7" s="6" t="n">
        <f aca="false">GDP_Annual_Raw!C6</f>
        <v>2903049.5</v>
      </c>
      <c r="F7" s="5" t="n">
        <f aca="false">IFERROR(D7/E7*100,"")</f>
        <v>40.1626152085936</v>
      </c>
      <c r="G7" s="5" t="n">
        <f aca="false">IFERROR((F7/F6-1)*100,"")</f>
        <v>7.80047907381016</v>
      </c>
      <c r="H7" s="7" t="s">
        <v>12</v>
      </c>
      <c r="I7" s="6" t="n">
        <f aca="false">MarketCap_Annual!B6</f>
        <v>1770682</v>
      </c>
      <c r="J7" s="8" t="s">
        <v>12</v>
      </c>
    </row>
    <row r="8" customFormat="false" ht="15" hidden="false" customHeight="false" outlineLevel="0" collapsed="false">
      <c r="A8" s="9" t="n">
        <v>2002</v>
      </c>
      <c r="B8" s="10" t="n">
        <f aca="false">CPI_Annual!B7</f>
        <v>31.8166666666667</v>
      </c>
      <c r="C8" s="10" t="n">
        <f aca="false">CPI_Annual!C7</f>
        <v>9.15</v>
      </c>
      <c r="D8" s="11" t="n">
        <f aca="false">GDP_Annual_Raw!B7</f>
        <v>1360679.3</v>
      </c>
      <c r="E8" s="11" t="n">
        <f aca="false">GDP_Annual_Raw!C7</f>
        <v>3010473.1</v>
      </c>
      <c r="F8" s="10" t="n">
        <f aca="false">IFERROR(D8/E8*100,"")</f>
        <v>45.1981882847583</v>
      </c>
      <c r="G8" s="10" t="n">
        <f aca="false">IFERROR((F8/F7-1)*100,"")</f>
        <v>12.5379611113752</v>
      </c>
      <c r="H8" s="12" t="s">
        <v>12</v>
      </c>
      <c r="I8" s="11" t="n">
        <f aca="false">MarketCap_Annual!B7</f>
        <v>1584151</v>
      </c>
      <c r="J8" s="11" t="n">
        <f aca="false">ALSI_Annual!B7</f>
        <v>9608.07571428572</v>
      </c>
    </row>
    <row r="9" customFormat="false" ht="15" hidden="false" customHeight="false" outlineLevel="0" collapsed="false">
      <c r="A9" s="4" t="n">
        <v>2003</v>
      </c>
      <c r="B9" s="5" t="n">
        <f aca="false">CPI_Annual!B8</f>
        <v>33.675</v>
      </c>
      <c r="C9" s="5" t="n">
        <f aca="false">CPI_Annual!C8</f>
        <v>5.96666666666667</v>
      </c>
      <c r="D9" s="6" t="n">
        <f aca="false">GDP_Annual_Raw!B8</f>
        <v>1490399</v>
      </c>
      <c r="E9" s="6" t="n">
        <f aca="false">GDP_Annual_Raw!C8</f>
        <v>3099254.3</v>
      </c>
      <c r="F9" s="5" t="n">
        <f aca="false">IFERROR(D9/E9*100,"")</f>
        <v>48.0889548172927</v>
      </c>
      <c r="G9" s="5" t="n">
        <f aca="false">IFERROR((F9/F8-1)*100,"")</f>
        <v>6.39575753417796</v>
      </c>
      <c r="H9" s="7" t="s">
        <v>12</v>
      </c>
      <c r="I9" s="6" t="n">
        <f aca="false">MarketCap_Annual!B8</f>
        <v>1787194</v>
      </c>
      <c r="J9" s="6" t="n">
        <f aca="false">ALSI_Annual!B8</f>
        <v>8845.9075</v>
      </c>
    </row>
    <row r="10" customFormat="false" ht="15" hidden="false" customHeight="false" outlineLevel="0" collapsed="false">
      <c r="A10" s="4" t="n">
        <v>2004</v>
      </c>
      <c r="B10" s="5" t="n">
        <f aca="false">CPI_Annual!B9</f>
        <v>34.15</v>
      </c>
      <c r="C10" s="5" t="n">
        <f aca="false">CPI_Annual!C9</f>
        <v>1.39166666666667</v>
      </c>
      <c r="D10" s="6" t="n">
        <f aca="false">GDP_Annual_Raw!B9</f>
        <v>1652434.1</v>
      </c>
      <c r="E10" s="6" t="n">
        <f aca="false">GDP_Annual_Raw!C9</f>
        <v>3240411.7</v>
      </c>
      <c r="F10" s="5" t="n">
        <f aca="false">IFERROR(D10/E10*100,"")</f>
        <v>50.994572695809</v>
      </c>
      <c r="G10" s="5" t="n">
        <f aca="false">IFERROR((F10/F9-1)*100,"")</f>
        <v>6.04217307187445</v>
      </c>
      <c r="H10" s="7" t="s">
        <v>12</v>
      </c>
      <c r="I10" s="6" t="n">
        <f aca="false">MarketCap_Annual!B9</f>
        <v>2566352</v>
      </c>
      <c r="J10" s="6" t="n">
        <f aca="false">ALSI_Annual!B9</f>
        <v>11114.6816666667</v>
      </c>
    </row>
    <row r="11" customFormat="false" ht="15" hidden="false" customHeight="false" outlineLevel="0" collapsed="false">
      <c r="A11" s="4" t="n">
        <v>2005</v>
      </c>
      <c r="B11" s="5" t="n">
        <f aca="false">CPI_Annual!B10</f>
        <v>35.275</v>
      </c>
      <c r="C11" s="5" t="n">
        <f aca="false">CPI_Annual!C10</f>
        <v>3.4</v>
      </c>
      <c r="D11" s="6" t="n">
        <f aca="false">GDP_Annual_Raw!B10</f>
        <v>1837001.4</v>
      </c>
      <c r="E11" s="6" t="n">
        <f aca="false">GDP_Annual_Raw!C10</f>
        <v>3411409.9</v>
      </c>
      <c r="F11" s="5" t="n">
        <f aca="false">IFERROR(D11/E11*100,"")</f>
        <v>53.8487444736559</v>
      </c>
      <c r="G11" s="5" t="n">
        <f aca="false">IFERROR((F11/F10-1)*100,"")</f>
        <v>5.5970108718677</v>
      </c>
      <c r="H11" s="7" t="s">
        <v>12</v>
      </c>
      <c r="I11" s="6" t="n">
        <f aca="false">MarketCap_Annual!B10</f>
        <v>3586112</v>
      </c>
      <c r="J11" s="6" t="n">
        <f aca="false">ALSI_Annual!B10</f>
        <v>14900.7425</v>
      </c>
    </row>
    <row r="12" customFormat="false" ht="15" hidden="false" customHeight="false" outlineLevel="0" collapsed="false">
      <c r="A12" s="4" t="n">
        <v>2006</v>
      </c>
      <c r="B12" s="5" t="n">
        <f aca="false">CPI_Annual!B11</f>
        <v>36.9166666666667</v>
      </c>
      <c r="C12" s="5" t="n">
        <f aca="false">CPI_Annual!C11</f>
        <v>4.64166666666667</v>
      </c>
      <c r="D12" s="6" t="n">
        <f aca="false">GDP_Annual_Raw!B11</f>
        <v>2057593.9</v>
      </c>
      <c r="E12" s="6" t="n">
        <f aca="false">GDP_Annual_Raw!C11</f>
        <v>3602578.7</v>
      </c>
      <c r="F12" s="5" t="n">
        <f aca="false">IFERROR(D12/E12*100,"")</f>
        <v>57.114474695584</v>
      </c>
      <c r="G12" s="5" t="n">
        <f aca="false">IFERROR((F12/F11-1)*100,"")</f>
        <v>6.06463577535368</v>
      </c>
      <c r="H12" s="7" t="s">
        <v>12</v>
      </c>
      <c r="I12" s="6" t="n">
        <f aca="false">MarketCap_Annual!B11</f>
        <v>5041515</v>
      </c>
      <c r="J12" s="6" t="n">
        <f aca="false">ALSI_Annual!B11</f>
        <v>21628.1958333333</v>
      </c>
    </row>
    <row r="13" customFormat="false" ht="15" hidden="false" customHeight="false" outlineLevel="0" collapsed="false">
      <c r="A13" s="4" t="n">
        <v>2007</v>
      </c>
      <c r="B13" s="5" t="n">
        <f aca="false">CPI_Annual!B12</f>
        <v>39.5583333333333</v>
      </c>
      <c r="C13" s="5" t="n">
        <f aca="false">CPI_Annual!C12</f>
        <v>7.075</v>
      </c>
      <c r="D13" s="6" t="n">
        <f aca="false">GDP_Annual_Raw!B12</f>
        <v>2346649.9</v>
      </c>
      <c r="E13" s="6" t="n">
        <f aca="false">GDP_Annual_Raw!C12</f>
        <v>3795694</v>
      </c>
      <c r="F13" s="5" t="n">
        <f aca="false">IFERROR(D13/E13*100,"")</f>
        <v>61.8240010917635</v>
      </c>
      <c r="G13" s="5" t="n">
        <f aca="false">IFERROR((F13/F12-1)*100,"")</f>
        <v>8.24576680654225</v>
      </c>
      <c r="H13" s="7" t="s">
        <v>12</v>
      </c>
      <c r="I13" s="6" t="n">
        <f aca="false">MarketCap_Annual!B12</f>
        <v>5696829</v>
      </c>
      <c r="J13" s="6" t="n">
        <f aca="false">ALSI_Annual!B12</f>
        <v>28452.39</v>
      </c>
    </row>
    <row r="14" customFormat="false" ht="15" hidden="false" customHeight="false" outlineLevel="0" collapsed="false">
      <c r="A14" s="4" t="n">
        <v>2008</v>
      </c>
      <c r="B14" s="5" t="n">
        <f aca="false">CPI_Annual!B13</f>
        <v>44.1333333333333</v>
      </c>
      <c r="C14" s="5" t="n">
        <f aca="false">CPI_Annual!C13</f>
        <v>11.525</v>
      </c>
      <c r="D14" s="6" t="n">
        <f aca="false">GDP_Annual_Raw!B13</f>
        <v>2611630.8</v>
      </c>
      <c r="E14" s="6" t="n">
        <f aca="false">GDP_Annual_Raw!C13</f>
        <v>3916816.2</v>
      </c>
      <c r="F14" s="5" t="n">
        <f aca="false">IFERROR(D14/E14*100,"")</f>
        <v>66.6773896615317</v>
      </c>
      <c r="G14" s="5" t="n">
        <f aca="false">IFERROR((F14/F13-1)*100,"")</f>
        <v>7.85033075191064</v>
      </c>
      <c r="H14" s="7" t="s">
        <v>12</v>
      </c>
      <c r="I14" s="6" t="n">
        <f aca="false">MarketCap_Annual!B13</f>
        <v>4541938</v>
      </c>
      <c r="J14" s="6" t="n">
        <f aca="false">ALSI_Annual!B13</f>
        <v>26962.0575</v>
      </c>
    </row>
    <row r="15" customFormat="false" ht="15" hidden="false" customHeight="false" outlineLevel="0" collapsed="false">
      <c r="A15" s="4" t="n">
        <v>2009</v>
      </c>
      <c r="B15" s="5" t="n">
        <f aca="false">CPI_Annual!B14</f>
        <v>47.0166666666667</v>
      </c>
      <c r="C15" s="5" t="n">
        <f aca="false">CPI_Annual!C14</f>
        <v>7.14166666666667</v>
      </c>
      <c r="D15" s="6" t="n">
        <f aca="false">GDP_Annual_Raw!B14</f>
        <v>2794228.4</v>
      </c>
      <c r="E15" s="6" t="n">
        <f aca="false">GDP_Annual_Raw!C14</f>
        <v>3856572.1</v>
      </c>
      <c r="F15" s="5" t="n">
        <f aca="false">IFERROR(D15/E15*100,"")</f>
        <v>72.4536797846979</v>
      </c>
      <c r="G15" s="5" t="n">
        <f aca="false">IFERROR((F15/F14-1)*100,"")</f>
        <v>8.66304177846167</v>
      </c>
      <c r="H15" s="7" t="s">
        <v>12</v>
      </c>
      <c r="I15" s="6" t="n">
        <f aca="false">MarketCap_Annual!B14</f>
        <v>5929063</v>
      </c>
      <c r="J15" s="6" t="n">
        <f aca="false">ALSI_Annual!B14</f>
        <v>23323.9066666667</v>
      </c>
    </row>
    <row r="16" customFormat="false" ht="15" hidden="false" customHeight="false" outlineLevel="0" collapsed="false">
      <c r="A16" s="4" t="n">
        <v>2010</v>
      </c>
      <c r="B16" s="5" t="n">
        <f aca="false">CPI_Annual!B15</f>
        <v>49.0333333333333</v>
      </c>
      <c r="C16" s="5" t="n">
        <f aca="false">CPI_Annual!C15</f>
        <v>4.28333333333333</v>
      </c>
      <c r="D16" s="6" t="n">
        <f aca="false">GDP_Annual_Raw!B15</f>
        <v>3055613.2</v>
      </c>
      <c r="E16" s="6" t="n">
        <f aca="false">GDP_Annual_Raw!C15</f>
        <v>3973801.6</v>
      </c>
      <c r="F16" s="5" t="n">
        <f aca="false">IFERROR(D16/E16*100,"")</f>
        <v>76.8939546453452</v>
      </c>
      <c r="G16" s="5" t="n">
        <f aca="false">IFERROR((F16/F15-1)*100,"")</f>
        <v>6.12843250176096</v>
      </c>
      <c r="H16" s="7" t="s">
        <v>12</v>
      </c>
      <c r="I16" s="6" t="n">
        <f aca="false">MarketCap_Annual!B15</f>
        <v>6698700</v>
      </c>
      <c r="J16" s="6" t="n">
        <f aca="false">ALSI_Annual!B15</f>
        <v>28509.1141666667</v>
      </c>
    </row>
    <row r="17" customFormat="false" ht="15" hidden="false" customHeight="false" outlineLevel="0" collapsed="false">
      <c r="A17" s="4" t="n">
        <v>2011</v>
      </c>
      <c r="B17" s="5" t="n">
        <f aca="false">CPI_Annual!B16</f>
        <v>51.475</v>
      </c>
      <c r="C17" s="5" t="n">
        <f aca="false">CPI_Annual!C16</f>
        <v>4.98333333333333</v>
      </c>
      <c r="D17" s="6" t="n">
        <f aca="false">GDP_Annual_Raw!B16</f>
        <v>3327047</v>
      </c>
      <c r="E17" s="6" t="n">
        <f aca="false">GDP_Annual_Raw!C16</f>
        <v>4099713.7</v>
      </c>
      <c r="F17" s="5" t="n">
        <f aca="false">IFERROR(D17/E17*100,"")</f>
        <v>81.1531546702883</v>
      </c>
      <c r="G17" s="5" t="n">
        <f aca="false">IFERROR((F17/F16-1)*100,"")</f>
        <v>5.53905706188178</v>
      </c>
      <c r="H17" s="7" t="s">
        <v>12</v>
      </c>
      <c r="I17" s="6" t="n">
        <f aca="false">MarketCap_Annual!B16</f>
        <v>6908507</v>
      </c>
      <c r="J17" s="6" t="n">
        <f aca="false">ALSI_Annual!B16</f>
        <v>31847.9991666667</v>
      </c>
    </row>
    <row r="18" customFormat="false" ht="15" hidden="false" customHeight="false" outlineLevel="0" collapsed="false">
      <c r="A18" s="4" t="n">
        <v>2012</v>
      </c>
      <c r="B18" s="5" t="n">
        <f aca="false">CPI_Annual!B17</f>
        <v>54.3916666666667</v>
      </c>
      <c r="C18" s="5" t="n">
        <f aca="false">CPI_Annual!C17</f>
        <v>5.66666666666667</v>
      </c>
      <c r="D18" s="6" t="n">
        <f aca="false">GDP_Annual_Raw!B17</f>
        <v>3566385</v>
      </c>
      <c r="E18" s="6" t="n">
        <f aca="false">GDP_Annual_Raw!C17</f>
        <v>4197952.4</v>
      </c>
      <c r="F18" s="5" t="n">
        <f aca="false">IFERROR(D18/E18*100,"")</f>
        <v>84.9553463255086</v>
      </c>
      <c r="G18" s="5" t="n">
        <f aca="false">IFERROR((F18/F17-1)*100,"")</f>
        <v>4.68520499377743</v>
      </c>
      <c r="H18" s="7" t="s">
        <v>12</v>
      </c>
      <c r="I18" s="6" t="n">
        <f aca="false">MarketCap_Annual!B17</f>
        <v>8383564</v>
      </c>
      <c r="J18" s="6" t="n">
        <f aca="false">ALSI_Annual!B17</f>
        <v>35262.3425</v>
      </c>
    </row>
    <row r="19" customFormat="false" ht="15" hidden="false" customHeight="false" outlineLevel="0" collapsed="false">
      <c r="A19" s="4" t="n">
        <v>2013</v>
      </c>
      <c r="B19" s="5" t="n">
        <f aca="false">CPI_Annual!B18</f>
        <v>57.5166666666667</v>
      </c>
      <c r="C19" s="5" t="n">
        <f aca="false">CPI_Annual!C18</f>
        <v>5.75833333333333</v>
      </c>
      <c r="D19" s="6" t="n">
        <f aca="false">GDP_Annual_Raw!B18</f>
        <v>3868630.2</v>
      </c>
      <c r="E19" s="6" t="n">
        <f aca="false">GDP_Annual_Raw!C18</f>
        <v>4302291.2</v>
      </c>
      <c r="F19" s="5" t="n">
        <f aca="false">IFERROR(D19/E19*100,"")</f>
        <v>89.920231340919</v>
      </c>
      <c r="G19" s="5" t="n">
        <f aca="false">IFERROR((F19/F18-1)*100,"")</f>
        <v>5.84411132453906</v>
      </c>
      <c r="H19" s="7" t="s">
        <v>12</v>
      </c>
      <c r="I19" s="6" t="n">
        <f aca="false">MarketCap_Annual!B18</f>
        <v>10626244</v>
      </c>
      <c r="J19" s="6" t="n">
        <f aca="false">ALSI_Annual!B18</f>
        <v>42057.111281005</v>
      </c>
    </row>
    <row r="20" customFormat="false" ht="15" hidden="false" customHeight="false" outlineLevel="0" collapsed="false">
      <c r="A20" s="4" t="n">
        <v>2014</v>
      </c>
      <c r="B20" s="5" t="n">
        <f aca="false">CPI_Annual!B19</f>
        <v>61.0166666666667</v>
      </c>
      <c r="C20" s="5" t="n">
        <f aca="false">CPI_Annual!C19</f>
        <v>6.05</v>
      </c>
      <c r="D20" s="6" t="n">
        <f aca="false">GDP_Annual_Raw!B19</f>
        <v>4133873</v>
      </c>
      <c r="E20" s="6" t="n">
        <f aca="false">GDP_Annual_Raw!C19</f>
        <v>4363118.1</v>
      </c>
      <c r="F20" s="5" t="n">
        <f aca="false">IFERROR(D20/E20*100,"")</f>
        <v>94.7458424286063</v>
      </c>
      <c r="G20" s="5" t="n">
        <f aca="false">IFERROR((F20/F19-1)*100,"")</f>
        <v>5.36654656658044</v>
      </c>
      <c r="H20" s="7" t="s">
        <v>12</v>
      </c>
      <c r="I20" s="6" t="n">
        <f aca="false">MarketCap_Annual!B19</f>
        <v>11505020</v>
      </c>
      <c r="J20" s="6" t="n">
        <f aca="false">ALSI_Annual!B19</f>
        <v>49231.354147635</v>
      </c>
    </row>
    <row r="21" customFormat="false" ht="15" hidden="false" customHeight="false" outlineLevel="0" collapsed="false">
      <c r="A21" s="4" t="n">
        <v>2015</v>
      </c>
      <c r="B21" s="5" t="n">
        <f aca="false">CPI_Annual!B20</f>
        <v>63.825</v>
      </c>
      <c r="C21" s="5" t="n">
        <f aca="false">CPI_Annual!C20</f>
        <v>4.58333333333333</v>
      </c>
      <c r="D21" s="6" t="n">
        <f aca="false">GDP_Annual_Raw!B20</f>
        <v>4420792.5</v>
      </c>
      <c r="E21" s="6" t="n">
        <f aca="false">GDP_Annual_Raw!C20</f>
        <v>4420792.5</v>
      </c>
      <c r="F21" s="5" t="n">
        <f aca="false">IFERROR(D21/E21*100,"")</f>
        <v>100</v>
      </c>
      <c r="G21" s="5" t="n">
        <f aca="false">IFERROR((F21/F20-1)*100,"")</f>
        <v>5.54552837012652</v>
      </c>
      <c r="H21" s="7" t="s">
        <v>12</v>
      </c>
      <c r="I21" s="6" t="n">
        <f aca="false">MarketCap_Annual!B20</f>
        <v>11727560</v>
      </c>
      <c r="J21" s="6" t="n">
        <f aca="false">ALSI_Annual!B20</f>
        <v>51960.0810089992</v>
      </c>
    </row>
    <row r="22" customFormat="false" ht="15" hidden="false" customHeight="false" outlineLevel="0" collapsed="false">
      <c r="A22" s="4" t="n">
        <v>2016</v>
      </c>
      <c r="B22" s="5" t="n">
        <f aca="false">CPI_Annual!B21</f>
        <v>67.8333333333333</v>
      </c>
      <c r="C22" s="5" t="n">
        <f aca="false">CPI_Annual!C21</f>
        <v>6.325</v>
      </c>
      <c r="D22" s="6" t="n">
        <f aca="false">GDP_Annual_Raw!B21</f>
        <v>4759554.5</v>
      </c>
      <c r="E22" s="6" t="n">
        <f aca="false">GDP_Annual_Raw!C21</f>
        <v>4450171</v>
      </c>
      <c r="F22" s="5" t="n">
        <f aca="false">IFERROR(D22/E22*100,"")</f>
        <v>106.952171051405</v>
      </c>
      <c r="G22" s="5" t="n">
        <f aca="false">IFERROR((F22/F21-1)*100,"")</f>
        <v>6.95217105140453</v>
      </c>
      <c r="H22" s="7" t="s">
        <v>12</v>
      </c>
      <c r="I22" s="6" t="n">
        <f aca="false">MarketCap_Annual!B21</f>
        <v>13580619</v>
      </c>
      <c r="J22" s="6" t="n">
        <f aca="false">ALSI_Annual!B21</f>
        <v>51568.4466973175</v>
      </c>
    </row>
    <row r="23" customFormat="false" ht="15" hidden="false" customHeight="false" outlineLevel="0" collapsed="false">
      <c r="A23" s="4" t="n">
        <v>2017</v>
      </c>
      <c r="B23" s="5" t="n">
        <f aca="false">CPI_Annual!B22</f>
        <v>71.4416666666667</v>
      </c>
      <c r="C23" s="5" t="n">
        <f aca="false">CPI_Annual!C22</f>
        <v>5.28333333333333</v>
      </c>
      <c r="D23" s="6" t="n">
        <f aca="false">GDP_Annual_Raw!B22</f>
        <v>5078189.9</v>
      </c>
      <c r="E23" s="6" t="n">
        <f aca="false">GDP_Annual_Raw!C22</f>
        <v>4501701.6</v>
      </c>
      <c r="F23" s="5" t="n">
        <f aca="false">IFERROR(D23/E23*100,"")</f>
        <v>112.806008732342</v>
      </c>
      <c r="G23" s="5" t="n">
        <f aca="false">IFERROR((F23/F22-1)*100,"")</f>
        <v>5.4733229100365</v>
      </c>
      <c r="H23" s="7" t="s">
        <v>12</v>
      </c>
      <c r="I23" s="6" t="n">
        <f aca="false">MarketCap_Annual!B22</f>
        <v>15467873</v>
      </c>
      <c r="J23" s="6" t="n">
        <f aca="false">ALSI_Annual!B22</f>
        <v>55045.6807185183</v>
      </c>
    </row>
    <row r="24" customFormat="false" ht="15" hidden="false" customHeight="false" outlineLevel="0" collapsed="false">
      <c r="A24" s="4" t="n">
        <v>2018</v>
      </c>
      <c r="B24" s="5" t="n">
        <f aca="false">CPI_Annual!B23</f>
        <v>74.725</v>
      </c>
      <c r="C24" s="5" t="n">
        <f aca="false">CPI_Annual!C23</f>
        <v>4.61666666666667</v>
      </c>
      <c r="D24" s="6" t="n">
        <f aca="false">GDP_Annual_Raw!B23</f>
        <v>5363190.4</v>
      </c>
      <c r="E24" s="6" t="n">
        <f aca="false">GDP_Annual_Raw!C23</f>
        <v>4571783.4</v>
      </c>
      <c r="F24" s="5" t="n">
        <f aca="false">IFERROR(D24/E24*100,"")</f>
        <v>117.310684491308</v>
      </c>
      <c r="G24" s="5" t="n">
        <f aca="false">IFERROR((F24/F23-1)*100,"")</f>
        <v>3.99329416011343</v>
      </c>
      <c r="H24" s="7" t="s">
        <v>12</v>
      </c>
      <c r="I24" s="6" t="n">
        <f aca="false">MarketCap_Annual!B23</f>
        <v>12701949</v>
      </c>
      <c r="J24" s="6" t="n">
        <f aca="false">ALSI_Annual!B23</f>
        <v>56075.817528175</v>
      </c>
    </row>
    <row r="25" customFormat="false" ht="15" hidden="false" customHeight="false" outlineLevel="0" collapsed="false">
      <c r="A25" s="4" t="n">
        <v>2019</v>
      </c>
      <c r="B25" s="5" t="n">
        <f aca="false">CPI_Annual!B24</f>
        <v>77.8</v>
      </c>
      <c r="C25" s="5" t="n">
        <f aca="false">CPI_Annual!C24</f>
        <v>4.14166666666667</v>
      </c>
      <c r="D25" s="6" t="n">
        <f aca="false">GDP_Annual_Raw!B24</f>
        <v>5625206.5</v>
      </c>
      <c r="E25" s="6" t="n">
        <f aca="false">GDP_Annual_Raw!C24</f>
        <v>4583667.1</v>
      </c>
      <c r="F25" s="5" t="n">
        <f aca="false">IFERROR(D25/E25*100,"")</f>
        <v>122.722841281384</v>
      </c>
      <c r="G25" s="5" t="n">
        <f aca="false">IFERROR((F25/F24-1)*100,"")</f>
        <v>4.61352417603231</v>
      </c>
      <c r="H25" s="7" t="s">
        <v>12</v>
      </c>
      <c r="I25" s="6" t="n">
        <f aca="false">MarketCap_Annual!B24</f>
        <v>17459094</v>
      </c>
      <c r="J25" s="6" t="n">
        <f aca="false">ALSI_Annual!B24</f>
        <v>56227.616377405</v>
      </c>
    </row>
    <row r="26" customFormat="false" ht="15" hidden="false" customHeight="false" outlineLevel="0" collapsed="false">
      <c r="A26" s="4" t="n">
        <v>2020</v>
      </c>
      <c r="B26" s="5" t="n">
        <f aca="false">CPI_Annual!B25</f>
        <v>80.3583333333333</v>
      </c>
      <c r="C26" s="5" t="n">
        <f aca="false">CPI_Annual!C25</f>
        <v>3.28333333333333</v>
      </c>
      <c r="D26" s="6" t="n">
        <f aca="false">GDP_Annual_Raw!B25</f>
        <v>5562760.3</v>
      </c>
      <c r="E26" s="6" t="n">
        <f aca="false">GDP_Annual_Raw!C25</f>
        <v>4300904.4</v>
      </c>
      <c r="F26" s="5" t="n">
        <f aca="false">IFERROR(D26/E26*100,"")</f>
        <v>129.339315237976</v>
      </c>
      <c r="G26" s="5" t="n">
        <f aca="false">IFERROR((F26/F25-1)*100,"")</f>
        <v>5.3913956746017</v>
      </c>
      <c r="H26" s="7" t="s">
        <v>12</v>
      </c>
      <c r="I26" s="6" t="n">
        <f aca="false">MarketCap_Annual!B25</f>
        <v>17874362</v>
      </c>
      <c r="J26" s="6" t="n">
        <f aca="false">ALSI_Annual!B25</f>
        <v>53369.8541548542</v>
      </c>
    </row>
    <row r="27" customFormat="false" ht="15" hidden="false" customHeight="false" outlineLevel="0" collapsed="false">
      <c r="A27" s="4" t="n">
        <v>2021</v>
      </c>
      <c r="B27" s="5" t="n">
        <f aca="false">CPI_Annual!B26</f>
        <v>84.0166666666667</v>
      </c>
      <c r="C27" s="5" t="n">
        <f aca="false">CPI_Annual!C26</f>
        <v>4.55833333333333</v>
      </c>
      <c r="D27" s="6" t="n">
        <f aca="false">GDP_Annual_Raw!B26</f>
        <v>6206842.1</v>
      </c>
      <c r="E27" s="6" t="n">
        <f aca="false">GDP_Annual_Raw!C26</f>
        <v>4509870.3</v>
      </c>
      <c r="F27" s="5" t="n">
        <f aca="false">IFERROR(D27/E27*100,"")</f>
        <v>137.627951296072</v>
      </c>
      <c r="G27" s="5" t="n">
        <f aca="false">IFERROR((F27/F26-1)*100,"")</f>
        <v>6.40844281790467</v>
      </c>
      <c r="H27" s="7" t="s">
        <v>12</v>
      </c>
      <c r="I27" s="6" t="n">
        <f aca="false">MarketCap_Annual!B26</f>
        <v>20520438</v>
      </c>
      <c r="J27" s="6" t="n">
        <f aca="false">ALSI_Annual!B26</f>
        <v>67381.2329152133</v>
      </c>
    </row>
    <row r="28" customFormat="false" ht="15" hidden="false" customHeight="false" outlineLevel="0" collapsed="false">
      <c r="A28" s="4" t="n">
        <v>2022</v>
      </c>
      <c r="B28" s="5" t="n">
        <f aca="false">CPI_Annual!B27</f>
        <v>89.7833333333334</v>
      </c>
      <c r="C28" s="5" t="n">
        <f aca="false">CPI_Annual!C27</f>
        <v>6.85</v>
      </c>
      <c r="D28" s="6" t="n">
        <f aca="false">GDP_Annual_Raw!B27</f>
        <v>6666581</v>
      </c>
      <c r="E28" s="6" t="n">
        <f aca="false">GDP_Annual_Raw!C27</f>
        <v>4602689.5</v>
      </c>
      <c r="F28" s="5" t="n">
        <f aca="false">IFERROR(D28/E28*100,"")</f>
        <v>144.840989165139</v>
      </c>
      <c r="G28" s="5" t="n">
        <f aca="false">IFERROR((F28/F27-1)*100,"")</f>
        <v>5.24096871394282</v>
      </c>
      <c r="H28" s="7" t="s">
        <v>12</v>
      </c>
      <c r="I28" s="6" t="n">
        <f aca="false">MarketCap_Annual!B27</f>
        <v>21356714</v>
      </c>
      <c r="J28" s="6" t="n">
        <f aca="false">ALSI_Annual!B27</f>
        <v>70926.198841505</v>
      </c>
    </row>
    <row r="29" customFormat="false" ht="15" hidden="false" customHeight="false" outlineLevel="0" collapsed="false">
      <c r="A29" s="4" t="n">
        <v>2023</v>
      </c>
      <c r="B29" s="5" t="n">
        <f aca="false">CPI_Annual!B28</f>
        <v>95.0833333333333</v>
      </c>
      <c r="C29" s="5" t="n">
        <f aca="false">CPI_Annual!C28</f>
        <v>5.90833333333333</v>
      </c>
      <c r="D29" s="6" t="n">
        <f aca="false">GDP_Annual_Raw!B28</f>
        <v>7037674.4</v>
      </c>
      <c r="E29" s="6" t="n">
        <f aca="false">GDP_Annual_Raw!C28</f>
        <v>4639792</v>
      </c>
      <c r="F29" s="5" t="n">
        <f aca="false">IFERROR(D29/E29*100,"")</f>
        <v>151.680816726267</v>
      </c>
      <c r="G29" s="5" t="n">
        <f aca="false">IFERROR((F29/F28-1)*100,"")</f>
        <v>4.72230105618063</v>
      </c>
      <c r="H29" s="7" t="s">
        <v>12</v>
      </c>
      <c r="I29" s="6" t="n">
        <f aca="false">MarketCap_Annual!B28</f>
        <v>19023628</v>
      </c>
      <c r="J29" s="6" t="n">
        <f aca="false">ALSI_Annual!B28</f>
        <v>75918.3138890325</v>
      </c>
    </row>
    <row r="30" customFormat="false" ht="15" hidden="false" customHeight="false" outlineLevel="0" collapsed="false">
      <c r="A30" s="4" t="n">
        <v>2024</v>
      </c>
      <c r="B30" s="5" t="n">
        <f aca="false">CPI_Annual!B29</f>
        <v>99.2916666666667</v>
      </c>
      <c r="C30" s="5" t="n">
        <f aca="false">CPI_Annual!C29</f>
        <v>4.43333333333333</v>
      </c>
      <c r="D30" s="6" t="n">
        <f aca="false">GDP_Annual_Raw!B29</f>
        <v>7352449.5</v>
      </c>
      <c r="E30" s="6" t="n">
        <f aca="false">GDP_Annual_Raw!C29</f>
        <v>4664607.7</v>
      </c>
      <c r="F30" s="5" t="n">
        <f aca="false">IFERROR(D30/E30*100,"")</f>
        <v>157.622033252657</v>
      </c>
      <c r="G30" s="5" t="n">
        <f aca="false">IFERROR((F30/F29-1)*100,"")</f>
        <v>3.91692018451606</v>
      </c>
      <c r="H30" s="7" t="s">
        <v>12</v>
      </c>
      <c r="I30" s="6" t="n">
        <f aca="false">MarketCap_Annual!B29</f>
        <v>19239200</v>
      </c>
      <c r="J30" s="6" t="n">
        <f aca="false">ALSI_Annual!B29</f>
        <v>80113.5782761508</v>
      </c>
    </row>
    <row r="31" customFormat="false" ht="15" hidden="false" customHeight="false" outlineLevel="0" collapsed="false">
      <c r="A31" s="4" t="n">
        <v>2025</v>
      </c>
      <c r="B31" s="5" t="n">
        <f aca="false">CPI_Annual!B30</f>
        <v>102.491666666667</v>
      </c>
      <c r="C31" s="5" t="n">
        <f aca="false">CPI_Annual!C30</f>
        <v>3.21666666666667</v>
      </c>
      <c r="D31" s="6" t="n">
        <f aca="false">GDP_Annual_Raw!B30</f>
        <v>7641793.2</v>
      </c>
      <c r="E31" s="6" t="n">
        <f aca="false">GDP_Annual_Raw!C30</f>
        <v>4716600.6</v>
      </c>
      <c r="F31" s="5" t="n">
        <f aca="false">IFERROR(D31/E31*100,"")</f>
        <v>162.019086373351</v>
      </c>
      <c r="G31" s="5" t="n">
        <f aca="false">IFERROR((F31/F30-1)*100,"")</f>
        <v>2.78961832299549</v>
      </c>
      <c r="H31" s="7" t="s">
        <v>12</v>
      </c>
      <c r="I31" s="6" t="n">
        <f aca="false">MarketCap_Annual!B30</f>
        <v>24187552</v>
      </c>
      <c r="J31" s="6" t="n">
        <f aca="false">ALSI_Annual!B30</f>
        <v>98934.2251412592</v>
      </c>
    </row>
    <row r="32" customFormat="false" ht="15" hidden="false" customHeight="false" outlineLevel="0" collapsed="false">
      <c r="A32" s="9" t="n">
        <v>2026</v>
      </c>
      <c r="B32" s="10" t="n">
        <f aca="false">CPI_Annual!B31</f>
        <v>105.814285714286</v>
      </c>
      <c r="C32" s="10" t="n">
        <f aca="false">CPI_Annual!C31</f>
        <v>3.91428571428571</v>
      </c>
      <c r="D32" s="11" t="n">
        <f aca="false">GDP_Annual_Raw!B31</f>
        <v>7780960.6</v>
      </c>
      <c r="E32" s="11" t="n">
        <f aca="false">GDP_Annual_Raw!C31</f>
        <v>4737866.3</v>
      </c>
      <c r="F32" s="10" t="n">
        <f aca="false">IFERROR(D32/E32*100,"")</f>
        <v>164.229214319535</v>
      </c>
      <c r="G32" s="10" t="n">
        <f aca="false">IFERROR((F32/F31-1)*100,"")</f>
        <v>1.36411579379627</v>
      </c>
      <c r="H32" s="12" t="s">
        <v>12</v>
      </c>
      <c r="I32" s="11" t="n">
        <f aca="false">MarketCap_Annual!B31</f>
        <v>24713587.2</v>
      </c>
      <c r="J32" s="11" t="n">
        <f aca="false">ALSI_Annual!B31</f>
        <v>116312.675960204</v>
      </c>
    </row>
    <row r="34" customFormat="false" ht="15" hidden="false" customHeight="false" outlineLevel="0" collapsed="false">
      <c r="A34" s="13" t="s">
        <v>13</v>
      </c>
      <c r="B34" s="13"/>
      <c r="C34" s="13"/>
      <c r="D34" s="13"/>
      <c r="E34" s="13"/>
      <c r="F34" s="13"/>
      <c r="G34" s="13"/>
      <c r="H34" s="13"/>
      <c r="I34" s="13"/>
      <c r="J34" s="13"/>
    </row>
    <row r="35" customFormat="false" ht="15" hidden="false" customHeight="false" outlineLevel="0" collapsed="false">
      <c r="A35" s="13" t="s">
        <v>14</v>
      </c>
      <c r="B35" s="13"/>
      <c r="C35" s="13"/>
      <c r="D35" s="13"/>
      <c r="E35" s="13"/>
      <c r="F35" s="13"/>
      <c r="G35" s="13"/>
      <c r="H35" s="13"/>
      <c r="I35" s="13"/>
      <c r="J35" s="13"/>
    </row>
    <row r="36" customFormat="false" ht="15" hidden="false" customHeight="false" outlineLevel="0" collapsed="false">
      <c r="A36" s="13" t="s">
        <v>15</v>
      </c>
      <c r="B36" s="13"/>
      <c r="C36" s="13"/>
      <c r="D36" s="13"/>
      <c r="E36" s="13"/>
      <c r="F36" s="13"/>
      <c r="G36" s="13"/>
      <c r="H36" s="13"/>
      <c r="I36" s="13"/>
      <c r="J36" s="13"/>
    </row>
  </sheetData>
  <mergeCells count="5">
    <mergeCell ref="A1:J1"/>
    <mergeCell ref="A2:J2"/>
    <mergeCell ref="A34:J34"/>
    <mergeCell ref="A35:J35"/>
    <mergeCell ref="A36:J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0"/>
  </cols>
  <sheetData>
    <row r="1" customFormat="false" ht="17.35" hidden="false" customHeight="false" outlineLevel="0" collapsed="false">
      <c r="A1" s="1" t="s">
        <v>16</v>
      </c>
      <c r="B1" s="1"/>
    </row>
    <row r="2" customFormat="false" ht="15" hidden="false" customHeight="false" outlineLevel="0" collapsed="false">
      <c r="A2" s="2" t="s">
        <v>17</v>
      </c>
      <c r="B2" s="2"/>
    </row>
    <row r="4" customFormat="false" ht="15" hidden="false" customHeight="false" outlineLevel="0" collapsed="false">
      <c r="A4" s="14" t="s">
        <v>18</v>
      </c>
      <c r="B4" s="15"/>
    </row>
    <row r="5" customFormat="false" ht="39.75" hidden="false" customHeight="true" outlineLevel="0" collapsed="false">
      <c r="A5" s="16" t="s">
        <v>19</v>
      </c>
      <c r="B5" s="17" t="s">
        <v>20</v>
      </c>
    </row>
    <row r="6" customFormat="false" ht="39.75" hidden="false" customHeight="true" outlineLevel="0" collapsed="false">
      <c r="A6" s="16" t="s">
        <v>21</v>
      </c>
      <c r="B6" s="17" t="s">
        <v>22</v>
      </c>
    </row>
    <row r="7" customFormat="false" ht="39.75" hidden="false" customHeight="true" outlineLevel="0" collapsed="false">
      <c r="A7" s="16" t="s">
        <v>23</v>
      </c>
      <c r="B7" s="17" t="s">
        <v>24</v>
      </c>
    </row>
    <row r="8" customFormat="false" ht="39.75" hidden="false" customHeight="true" outlineLevel="0" collapsed="false">
      <c r="A8" s="16" t="s">
        <v>25</v>
      </c>
      <c r="B8" s="17" t="s">
        <v>26</v>
      </c>
    </row>
    <row r="9" customFormat="false" ht="39.75" hidden="false" customHeight="true" outlineLevel="0" collapsed="false">
      <c r="A9" s="16" t="s">
        <v>27</v>
      </c>
      <c r="B9" s="17" t="s">
        <v>28</v>
      </c>
    </row>
    <row r="11" customFormat="false" ht="15" hidden="false" customHeight="false" outlineLevel="0" collapsed="false">
      <c r="A11" s="14" t="s">
        <v>29</v>
      </c>
      <c r="B11" s="15"/>
    </row>
    <row r="12" customFormat="false" ht="60" hidden="false" customHeight="true" outlineLevel="0" collapsed="false">
      <c r="A12" s="16" t="s">
        <v>30</v>
      </c>
      <c r="B12" s="17" t="s">
        <v>31</v>
      </c>
    </row>
    <row r="13" customFormat="false" ht="60" hidden="false" customHeight="true" outlineLevel="0" collapsed="false">
      <c r="A13" s="16" t="s">
        <v>32</v>
      </c>
      <c r="B13" s="17" t="s">
        <v>33</v>
      </c>
    </row>
    <row r="14" customFormat="false" ht="60" hidden="false" customHeight="true" outlineLevel="0" collapsed="false">
      <c r="A14" s="16" t="s">
        <v>34</v>
      </c>
      <c r="B14" s="17" t="s">
        <v>35</v>
      </c>
    </row>
    <row r="15" customFormat="false" ht="60" hidden="false" customHeight="true" outlineLevel="0" collapsed="false">
      <c r="A15" s="16" t="s">
        <v>36</v>
      </c>
      <c r="B15" s="17" t="s">
        <v>37</v>
      </c>
    </row>
    <row r="16" customFormat="false" ht="60" hidden="false" customHeight="true" outlineLevel="0" collapsed="false">
      <c r="A16" s="16" t="s">
        <v>38</v>
      </c>
      <c r="B16" s="17" t="s">
        <v>39</v>
      </c>
    </row>
    <row r="17" customFormat="false" ht="60" hidden="false" customHeight="true" outlineLevel="0" collapsed="false">
      <c r="A17" s="16" t="s">
        <v>40</v>
      </c>
      <c r="B17" s="17" t="s">
        <v>41</v>
      </c>
    </row>
    <row r="19" customFormat="false" ht="15" hidden="false" customHeight="false" outlineLevel="0" collapsed="false">
      <c r="A19" s="14" t="s">
        <v>42</v>
      </c>
      <c r="B19" s="15"/>
    </row>
    <row r="20" customFormat="false" ht="39.75" hidden="false" customHeight="true" outlineLevel="0" collapsed="false">
      <c r="A20" s="16" t="s">
        <v>43</v>
      </c>
      <c r="B20" s="17" t="s">
        <v>44</v>
      </c>
    </row>
    <row r="21" customFormat="false" ht="39.75" hidden="false" customHeight="true" outlineLevel="0" collapsed="false">
      <c r="A21" s="16" t="s">
        <v>45</v>
      </c>
      <c r="B21" s="17" t="s">
        <v>46</v>
      </c>
    </row>
    <row r="22" customFormat="false" ht="39.75" hidden="false" customHeight="true" outlineLevel="0" collapsed="false">
      <c r="A22" s="16" t="s">
        <v>47</v>
      </c>
      <c r="B22" s="17" t="s">
        <v>48</v>
      </c>
    </row>
    <row r="23" customFormat="false" ht="39.75" hidden="false" customHeight="true" outlineLevel="0" collapsed="false">
      <c r="A23" s="16" t="s">
        <v>49</v>
      </c>
      <c r="B23" s="17" t="s">
        <v>50</v>
      </c>
    </row>
    <row r="24" customFormat="false" ht="39.75" hidden="false" customHeight="true" outlineLevel="0" collapsed="false">
      <c r="A24" s="16" t="s">
        <v>51</v>
      </c>
      <c r="B24" s="17" t="s">
        <v>52</v>
      </c>
    </row>
    <row r="25" customFormat="false" ht="39.75" hidden="false" customHeight="true" outlineLevel="0" collapsed="false">
      <c r="A25" s="16" t="s">
        <v>53</v>
      </c>
      <c r="B25" s="17" t="s">
        <v>54</v>
      </c>
    </row>
    <row r="27" customFormat="false" ht="15" hidden="false" customHeight="false" outlineLevel="0" collapsed="false">
      <c r="A27" s="14" t="s">
        <v>55</v>
      </c>
      <c r="B27" s="15"/>
    </row>
    <row r="28" customFormat="false" ht="54.75" hidden="false" customHeight="true" outlineLevel="0" collapsed="false">
      <c r="A28" s="16" t="s">
        <v>56</v>
      </c>
      <c r="B28" s="17" t="s">
        <v>57</v>
      </c>
    </row>
    <row r="29" customFormat="false" ht="54.75" hidden="false" customHeight="true" outlineLevel="0" collapsed="false">
      <c r="A29" s="16" t="s">
        <v>58</v>
      </c>
      <c r="B29" s="17" t="s">
        <v>59</v>
      </c>
    </row>
    <row r="30" customFormat="false" ht="54.75" hidden="false" customHeight="true" outlineLevel="0" collapsed="false">
      <c r="A30" s="16" t="s">
        <v>60</v>
      </c>
      <c r="B30" s="17" t="s">
        <v>61</v>
      </c>
    </row>
    <row r="31" customFormat="false" ht="54.75" hidden="false" customHeight="true" outlineLevel="0" collapsed="false">
      <c r="A31" s="16" t="s">
        <v>62</v>
      </c>
      <c r="B31" s="17" t="s">
        <v>63</v>
      </c>
    </row>
    <row r="32" customFormat="false" ht="54.75" hidden="false" customHeight="true" outlineLevel="0" collapsed="false">
      <c r="A32" s="16" t="s">
        <v>64</v>
      </c>
      <c r="B32" s="17" t="s">
        <v>65</v>
      </c>
    </row>
    <row r="34" customFormat="false" ht="15" hidden="false" customHeight="false" outlineLevel="0" collapsed="false">
      <c r="A34" s="18" t="s">
        <v>66</v>
      </c>
    </row>
    <row r="35" customFormat="false" ht="15" hidden="false" customHeight="false" outlineLevel="0" collapsed="false">
      <c r="A35" s="19" t="s">
        <v>67</v>
      </c>
      <c r="B35" s="20" t="s">
        <v>68</v>
      </c>
    </row>
    <row r="36" customFormat="false" ht="15" hidden="false" customHeight="false" outlineLevel="0" collapsed="false">
      <c r="A36" s="18" t="s">
        <v>69</v>
      </c>
      <c r="B36" s="20" t="s">
        <v>70</v>
      </c>
    </row>
    <row r="37" customFormat="false" ht="15" hidden="false" customHeight="false" outlineLevel="0" collapsed="false">
      <c r="A37" s="18" t="s">
        <v>71</v>
      </c>
      <c r="B37" s="20" t="s">
        <v>72</v>
      </c>
    </row>
    <row r="38" customFormat="false" ht="15" hidden="false" customHeight="false" outlineLevel="0" collapsed="false">
      <c r="A38" s="18" t="s">
        <v>73</v>
      </c>
      <c r="B38" s="20" t="s">
        <v>74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4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21" t="s">
        <v>75</v>
      </c>
      <c r="B1" s="21"/>
      <c r="C1" s="21"/>
      <c r="D1" s="21"/>
    </row>
    <row r="3" customFormat="false" ht="23.85" hidden="false" customHeight="false" outlineLevel="0" collapsed="false">
      <c r="A3" s="22" t="s">
        <v>2</v>
      </c>
      <c r="B3" s="22" t="s">
        <v>76</v>
      </c>
      <c r="C3" s="22" t="s">
        <v>77</v>
      </c>
      <c r="D3" s="22" t="s">
        <v>78</v>
      </c>
    </row>
    <row r="4" customFormat="false" ht="15" hidden="false" customHeight="false" outlineLevel="0" collapsed="false">
      <c r="A4" s="23" t="n">
        <v>1999</v>
      </c>
      <c r="B4" s="23" t="n">
        <f aca="false">AVERAGE(CPI_Monthly!C4:C15)</f>
        <v>26.1666666666667</v>
      </c>
      <c r="C4" s="23" t="n">
        <f aca="false">AVERAGE(CPI_Monthly!D4:D15)</f>
        <v>5.275</v>
      </c>
    </row>
    <row r="5" customFormat="false" ht="15" hidden="false" customHeight="false" outlineLevel="0" collapsed="false">
      <c r="A5" s="23" t="n">
        <v>2000</v>
      </c>
      <c r="B5" s="23" t="n">
        <f aca="false">AVERAGE(CPI_Monthly!C16:C27)</f>
        <v>27.5833333333333</v>
      </c>
      <c r="C5" s="23" t="n">
        <f aca="false">AVERAGE(CPI_Monthly!D16:D27)</f>
        <v>5.325</v>
      </c>
    </row>
    <row r="6" customFormat="false" ht="15" hidden="false" customHeight="false" outlineLevel="0" collapsed="false">
      <c r="A6" s="23" t="n">
        <v>2001</v>
      </c>
      <c r="B6" s="23" t="n">
        <f aca="false">AVERAGE(CPI_Monthly!C28:C39)</f>
        <v>29.15</v>
      </c>
      <c r="C6" s="23" t="n">
        <f aca="false">AVERAGE(CPI_Monthly!D28:D39)</f>
        <v>5.725</v>
      </c>
    </row>
    <row r="7" customFormat="false" ht="15" hidden="false" customHeight="false" outlineLevel="0" collapsed="false">
      <c r="A7" s="23" t="n">
        <v>2002</v>
      </c>
      <c r="B7" s="23" t="n">
        <f aca="false">AVERAGE(CPI_Monthly!C40:C51)</f>
        <v>31.8166666666667</v>
      </c>
      <c r="C7" s="23" t="n">
        <f aca="false">AVERAGE(CPI_Monthly!D40:D51)</f>
        <v>9.15</v>
      </c>
    </row>
    <row r="8" customFormat="false" ht="15" hidden="false" customHeight="false" outlineLevel="0" collapsed="false">
      <c r="A8" s="23" t="n">
        <v>2003</v>
      </c>
      <c r="B8" s="23" t="n">
        <f aca="false">AVERAGE(CPI_Monthly!C52:C63)</f>
        <v>33.675</v>
      </c>
      <c r="C8" s="23" t="n">
        <f aca="false">AVERAGE(CPI_Monthly!D52:D63)</f>
        <v>5.96666666666667</v>
      </c>
    </row>
    <row r="9" customFormat="false" ht="15" hidden="false" customHeight="false" outlineLevel="0" collapsed="false">
      <c r="A9" s="23" t="n">
        <v>2004</v>
      </c>
      <c r="B9" s="23" t="n">
        <f aca="false">AVERAGE(CPI_Monthly!C64:C75)</f>
        <v>34.15</v>
      </c>
      <c r="C9" s="23" t="n">
        <f aca="false">AVERAGE(CPI_Monthly!D64:D75)</f>
        <v>1.39166666666667</v>
      </c>
    </row>
    <row r="10" customFormat="false" ht="15" hidden="false" customHeight="false" outlineLevel="0" collapsed="false">
      <c r="A10" s="23" t="n">
        <v>2005</v>
      </c>
      <c r="B10" s="23" t="n">
        <f aca="false">AVERAGE(CPI_Monthly!C76:C87)</f>
        <v>35.275</v>
      </c>
      <c r="C10" s="23" t="n">
        <f aca="false">AVERAGE(CPI_Monthly!D76:D87)</f>
        <v>3.4</v>
      </c>
    </row>
    <row r="11" customFormat="false" ht="15" hidden="false" customHeight="false" outlineLevel="0" collapsed="false">
      <c r="A11" s="23" t="n">
        <v>2006</v>
      </c>
      <c r="B11" s="23" t="n">
        <f aca="false">AVERAGE(CPI_Monthly!C88:C99)</f>
        <v>36.9166666666667</v>
      </c>
      <c r="C11" s="23" t="n">
        <f aca="false">AVERAGE(CPI_Monthly!D88:D99)</f>
        <v>4.64166666666667</v>
      </c>
    </row>
    <row r="12" customFormat="false" ht="15" hidden="false" customHeight="false" outlineLevel="0" collapsed="false">
      <c r="A12" s="23" t="n">
        <v>2007</v>
      </c>
      <c r="B12" s="23" t="n">
        <f aca="false">AVERAGE(CPI_Monthly!C100:C111)</f>
        <v>39.5583333333333</v>
      </c>
      <c r="C12" s="23" t="n">
        <f aca="false">AVERAGE(CPI_Monthly!D100:D111)</f>
        <v>7.075</v>
      </c>
    </row>
    <row r="13" customFormat="false" ht="15" hidden="false" customHeight="false" outlineLevel="0" collapsed="false">
      <c r="A13" s="23" t="n">
        <v>2008</v>
      </c>
      <c r="B13" s="23" t="n">
        <f aca="false">AVERAGE(CPI_Monthly!C112:C123)</f>
        <v>44.1333333333333</v>
      </c>
      <c r="C13" s="23" t="n">
        <f aca="false">AVERAGE(CPI_Monthly!D112:D123)</f>
        <v>11.525</v>
      </c>
    </row>
    <row r="14" customFormat="false" ht="15" hidden="false" customHeight="false" outlineLevel="0" collapsed="false">
      <c r="A14" s="23" t="n">
        <v>2009</v>
      </c>
      <c r="B14" s="23" t="n">
        <f aca="false">AVERAGE(CPI_Monthly!C124:C135)</f>
        <v>47.0166666666667</v>
      </c>
      <c r="C14" s="23" t="n">
        <f aca="false">AVERAGE(CPI_Monthly!D124:D135)</f>
        <v>7.14166666666667</v>
      </c>
    </row>
    <row r="15" customFormat="false" ht="15" hidden="false" customHeight="false" outlineLevel="0" collapsed="false">
      <c r="A15" s="23" t="n">
        <v>2010</v>
      </c>
      <c r="B15" s="23" t="n">
        <f aca="false">AVERAGE(CPI_Monthly!C136:C147)</f>
        <v>49.0333333333333</v>
      </c>
      <c r="C15" s="23" t="n">
        <f aca="false">AVERAGE(CPI_Monthly!D136:D147)</f>
        <v>4.28333333333333</v>
      </c>
    </row>
    <row r="16" customFormat="false" ht="15" hidden="false" customHeight="false" outlineLevel="0" collapsed="false">
      <c r="A16" s="23" t="n">
        <v>2011</v>
      </c>
      <c r="B16" s="23" t="n">
        <f aca="false">AVERAGE(CPI_Monthly!C148:C159)</f>
        <v>51.475</v>
      </c>
      <c r="C16" s="23" t="n">
        <f aca="false">AVERAGE(CPI_Monthly!D148:D159)</f>
        <v>4.98333333333333</v>
      </c>
    </row>
    <row r="17" customFormat="false" ht="15" hidden="false" customHeight="false" outlineLevel="0" collapsed="false">
      <c r="A17" s="23" t="n">
        <v>2012</v>
      </c>
      <c r="B17" s="23" t="n">
        <f aca="false">AVERAGE(CPI_Monthly!C160:C171)</f>
        <v>54.3916666666667</v>
      </c>
      <c r="C17" s="23" t="n">
        <f aca="false">AVERAGE(CPI_Monthly!D160:D171)</f>
        <v>5.66666666666667</v>
      </c>
    </row>
    <row r="18" customFormat="false" ht="15" hidden="false" customHeight="false" outlineLevel="0" collapsed="false">
      <c r="A18" s="23" t="n">
        <v>2013</v>
      </c>
      <c r="B18" s="23" t="n">
        <f aca="false">AVERAGE(CPI_Monthly!C172:C183)</f>
        <v>57.5166666666667</v>
      </c>
      <c r="C18" s="23" t="n">
        <f aca="false">AVERAGE(CPI_Monthly!D172:D183)</f>
        <v>5.75833333333333</v>
      </c>
    </row>
    <row r="19" customFormat="false" ht="15" hidden="false" customHeight="false" outlineLevel="0" collapsed="false">
      <c r="A19" s="23" t="n">
        <v>2014</v>
      </c>
      <c r="B19" s="23" t="n">
        <f aca="false">AVERAGE(CPI_Monthly!C184:C195)</f>
        <v>61.0166666666667</v>
      </c>
      <c r="C19" s="23" t="n">
        <f aca="false">AVERAGE(CPI_Monthly!D184:D195)</f>
        <v>6.05</v>
      </c>
    </row>
    <row r="20" customFormat="false" ht="15" hidden="false" customHeight="false" outlineLevel="0" collapsed="false">
      <c r="A20" s="23" t="n">
        <v>2015</v>
      </c>
      <c r="B20" s="23" t="n">
        <f aca="false">AVERAGE(CPI_Monthly!C196:C207)</f>
        <v>63.825</v>
      </c>
      <c r="C20" s="23" t="n">
        <f aca="false">AVERAGE(CPI_Monthly!D196:D207)</f>
        <v>4.58333333333333</v>
      </c>
    </row>
    <row r="21" customFormat="false" ht="15" hidden="false" customHeight="false" outlineLevel="0" collapsed="false">
      <c r="A21" s="23" t="n">
        <v>2016</v>
      </c>
      <c r="B21" s="23" t="n">
        <f aca="false">AVERAGE(CPI_Monthly!C208:C219)</f>
        <v>67.8333333333333</v>
      </c>
      <c r="C21" s="23" t="n">
        <f aca="false">AVERAGE(CPI_Monthly!D208:D219)</f>
        <v>6.325</v>
      </c>
    </row>
    <row r="22" customFormat="false" ht="15" hidden="false" customHeight="false" outlineLevel="0" collapsed="false">
      <c r="A22" s="23" t="n">
        <v>2017</v>
      </c>
      <c r="B22" s="23" t="n">
        <f aca="false">AVERAGE(CPI_Monthly!C220:C231)</f>
        <v>71.4416666666667</v>
      </c>
      <c r="C22" s="23" t="n">
        <f aca="false">AVERAGE(CPI_Monthly!D220:D231)</f>
        <v>5.28333333333333</v>
      </c>
    </row>
    <row r="23" customFormat="false" ht="15" hidden="false" customHeight="false" outlineLevel="0" collapsed="false">
      <c r="A23" s="23" t="n">
        <v>2018</v>
      </c>
      <c r="B23" s="23" t="n">
        <f aca="false">AVERAGE(CPI_Monthly!C232:C243)</f>
        <v>74.725</v>
      </c>
      <c r="C23" s="23" t="n">
        <f aca="false">AVERAGE(CPI_Monthly!D232:D243)</f>
        <v>4.61666666666667</v>
      </c>
    </row>
    <row r="24" customFormat="false" ht="15" hidden="false" customHeight="false" outlineLevel="0" collapsed="false">
      <c r="A24" s="23" t="n">
        <v>2019</v>
      </c>
      <c r="B24" s="23" t="n">
        <f aca="false">AVERAGE(CPI_Monthly!C244:C255)</f>
        <v>77.8</v>
      </c>
      <c r="C24" s="23" t="n">
        <f aca="false">AVERAGE(CPI_Monthly!D244:D255)</f>
        <v>4.14166666666667</v>
      </c>
    </row>
    <row r="25" customFormat="false" ht="15" hidden="false" customHeight="false" outlineLevel="0" collapsed="false">
      <c r="A25" s="23" t="n">
        <v>2020</v>
      </c>
      <c r="B25" s="23" t="n">
        <f aca="false">AVERAGE(CPI_Monthly!C256:C267)</f>
        <v>80.3583333333333</v>
      </c>
      <c r="C25" s="23" t="n">
        <f aca="false">AVERAGE(CPI_Monthly!D256:D267)</f>
        <v>3.28333333333333</v>
      </c>
    </row>
    <row r="26" customFormat="false" ht="15" hidden="false" customHeight="false" outlineLevel="0" collapsed="false">
      <c r="A26" s="23" t="n">
        <v>2021</v>
      </c>
      <c r="B26" s="23" t="n">
        <f aca="false">AVERAGE(CPI_Monthly!C268:C279)</f>
        <v>84.0166666666667</v>
      </c>
      <c r="C26" s="23" t="n">
        <f aca="false">AVERAGE(CPI_Monthly!D268:D279)</f>
        <v>4.55833333333333</v>
      </c>
    </row>
    <row r="27" customFormat="false" ht="15" hidden="false" customHeight="false" outlineLevel="0" collapsed="false">
      <c r="A27" s="23" t="n">
        <v>2022</v>
      </c>
      <c r="B27" s="23" t="n">
        <f aca="false">AVERAGE(CPI_Monthly!C280:C291)</f>
        <v>89.7833333333334</v>
      </c>
      <c r="C27" s="23" t="n">
        <f aca="false">AVERAGE(CPI_Monthly!D280:D291)</f>
        <v>6.85</v>
      </c>
    </row>
    <row r="28" customFormat="false" ht="15" hidden="false" customHeight="false" outlineLevel="0" collapsed="false">
      <c r="A28" s="23" t="n">
        <v>2023</v>
      </c>
      <c r="B28" s="23" t="n">
        <f aca="false">AVERAGE(CPI_Monthly!C292:C303)</f>
        <v>95.0833333333333</v>
      </c>
      <c r="C28" s="23" t="n">
        <f aca="false">AVERAGE(CPI_Monthly!D292:D303)</f>
        <v>5.90833333333333</v>
      </c>
    </row>
    <row r="29" customFormat="false" ht="15" hidden="false" customHeight="false" outlineLevel="0" collapsed="false">
      <c r="A29" s="23" t="n">
        <v>2024</v>
      </c>
      <c r="B29" s="23" t="n">
        <f aca="false">AVERAGE(CPI_Monthly!C304:C315)</f>
        <v>99.2916666666667</v>
      </c>
      <c r="C29" s="23" t="n">
        <f aca="false">AVERAGE(CPI_Monthly!D304:D315)</f>
        <v>4.43333333333333</v>
      </c>
    </row>
    <row r="30" customFormat="false" ht="15" hidden="false" customHeight="false" outlineLevel="0" collapsed="false">
      <c r="A30" s="23" t="n">
        <v>2025</v>
      </c>
      <c r="B30" s="23" t="n">
        <f aca="false">AVERAGE(CPI_Monthly!C316:C327)</f>
        <v>102.491666666667</v>
      </c>
      <c r="C30" s="23" t="n">
        <f aca="false">AVERAGE(CPI_Monthly!D316:D327)</f>
        <v>3.21666666666667</v>
      </c>
    </row>
    <row r="31" customFormat="false" ht="15" hidden="false" customHeight="false" outlineLevel="0" collapsed="false">
      <c r="A31" s="24" t="n">
        <v>2026</v>
      </c>
      <c r="B31" s="24" t="n">
        <f aca="false">AVERAGE(CPI_Monthly!C328:C334)</f>
        <v>105.814285714286</v>
      </c>
      <c r="C31" s="24" t="n">
        <f aca="false">AVERAGE(CPI_Monthly!D328:D334)</f>
        <v>3.91428571428571</v>
      </c>
      <c r="D31" s="25" t="s">
        <v>79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4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21" t="s">
        <v>80</v>
      </c>
      <c r="B1" s="21"/>
      <c r="C1" s="21"/>
      <c r="D1" s="21"/>
    </row>
    <row r="3" customFormat="false" ht="15" hidden="false" customHeight="false" outlineLevel="0" collapsed="false">
      <c r="A3" s="26" t="s">
        <v>2</v>
      </c>
      <c r="B3" s="26" t="s">
        <v>81</v>
      </c>
      <c r="C3" s="26" t="s">
        <v>82</v>
      </c>
      <c r="D3" s="26" t="s">
        <v>4</v>
      </c>
    </row>
    <row r="4" customFormat="false" ht="15" hidden="false" customHeight="false" outlineLevel="0" collapsed="false">
      <c r="A4" s="23" t="n">
        <v>1999</v>
      </c>
      <c r="B4" s="23" t="s">
        <v>83</v>
      </c>
      <c r="C4" s="27" t="n">
        <v>26</v>
      </c>
      <c r="D4" s="27" t="n">
        <v>8.9</v>
      </c>
    </row>
    <row r="5" customFormat="false" ht="15" hidden="false" customHeight="false" outlineLevel="0" collapsed="false">
      <c r="A5" s="23" t="n">
        <v>1999</v>
      </c>
      <c r="B5" s="23" t="s">
        <v>84</v>
      </c>
      <c r="C5" s="27" t="n">
        <v>26</v>
      </c>
      <c r="D5" s="27" t="n">
        <v>8.6</v>
      </c>
    </row>
    <row r="6" customFormat="false" ht="15" hidden="false" customHeight="false" outlineLevel="0" collapsed="false">
      <c r="A6" s="23" t="n">
        <v>1999</v>
      </c>
      <c r="B6" s="23" t="s">
        <v>85</v>
      </c>
      <c r="C6" s="27" t="n">
        <v>26</v>
      </c>
      <c r="D6" s="27" t="n">
        <v>7.9</v>
      </c>
    </row>
    <row r="7" customFormat="false" ht="15" hidden="false" customHeight="false" outlineLevel="0" collapsed="false">
      <c r="A7" s="23" t="n">
        <v>1999</v>
      </c>
      <c r="B7" s="23" t="s">
        <v>86</v>
      </c>
      <c r="C7" s="27" t="n">
        <v>26.1</v>
      </c>
      <c r="D7" s="27" t="n">
        <v>7.7</v>
      </c>
    </row>
    <row r="8" customFormat="false" ht="15" hidden="false" customHeight="false" outlineLevel="0" collapsed="false">
      <c r="A8" s="23" t="n">
        <v>1999</v>
      </c>
      <c r="B8" s="23" t="s">
        <v>87</v>
      </c>
      <c r="C8" s="27" t="n">
        <v>26.1</v>
      </c>
      <c r="D8" s="27" t="n">
        <v>7.1</v>
      </c>
    </row>
    <row r="9" customFormat="false" ht="15" hidden="false" customHeight="false" outlineLevel="0" collapsed="false">
      <c r="A9" s="23" t="n">
        <v>1999</v>
      </c>
      <c r="B9" s="23" t="s">
        <v>88</v>
      </c>
      <c r="C9" s="27" t="n">
        <v>26.2</v>
      </c>
      <c r="D9" s="27" t="n">
        <v>7.3</v>
      </c>
    </row>
    <row r="10" customFormat="false" ht="15" hidden="false" customHeight="false" outlineLevel="0" collapsed="false">
      <c r="A10" s="23" t="n">
        <v>1999</v>
      </c>
      <c r="B10" s="23" t="s">
        <v>89</v>
      </c>
      <c r="C10" s="27" t="n">
        <v>26.2</v>
      </c>
      <c r="D10" s="27" t="n">
        <v>4.9</v>
      </c>
    </row>
    <row r="11" customFormat="false" ht="15" hidden="false" customHeight="false" outlineLevel="0" collapsed="false">
      <c r="A11" s="23" t="n">
        <v>1999</v>
      </c>
      <c r="B11" s="23" t="s">
        <v>90</v>
      </c>
      <c r="C11" s="27" t="n">
        <v>26.1</v>
      </c>
      <c r="D11" s="27" t="n">
        <v>3.2</v>
      </c>
    </row>
    <row r="12" customFormat="false" ht="15" hidden="false" customHeight="false" outlineLevel="0" collapsed="false">
      <c r="A12" s="23" t="n">
        <v>1999</v>
      </c>
      <c r="B12" s="23" t="s">
        <v>91</v>
      </c>
      <c r="C12" s="27" t="n">
        <v>26.2</v>
      </c>
      <c r="D12" s="27" t="n">
        <v>1.9</v>
      </c>
    </row>
    <row r="13" customFormat="false" ht="15" hidden="false" customHeight="false" outlineLevel="0" collapsed="false">
      <c r="A13" s="23" t="n">
        <v>1999</v>
      </c>
      <c r="B13" s="23" t="s">
        <v>92</v>
      </c>
      <c r="C13" s="27" t="n">
        <v>26.3</v>
      </c>
      <c r="D13" s="27" t="n">
        <v>1.7</v>
      </c>
    </row>
    <row r="14" customFormat="false" ht="15" hidden="false" customHeight="false" outlineLevel="0" collapsed="false">
      <c r="A14" s="23" t="n">
        <v>1999</v>
      </c>
      <c r="B14" s="23" t="s">
        <v>93</v>
      </c>
      <c r="C14" s="27" t="n">
        <v>26.4</v>
      </c>
      <c r="D14" s="27" t="n">
        <v>1.9</v>
      </c>
    </row>
    <row r="15" customFormat="false" ht="15" hidden="false" customHeight="false" outlineLevel="0" collapsed="false">
      <c r="A15" s="23" t="n">
        <v>1999</v>
      </c>
      <c r="B15" s="23" t="s">
        <v>94</v>
      </c>
      <c r="C15" s="27" t="n">
        <v>26.4</v>
      </c>
      <c r="D15" s="27" t="n">
        <v>2.2</v>
      </c>
    </row>
    <row r="16" customFormat="false" ht="15" hidden="false" customHeight="false" outlineLevel="0" collapsed="false">
      <c r="A16" s="23" t="n">
        <v>2000</v>
      </c>
      <c r="B16" s="23" t="s">
        <v>83</v>
      </c>
      <c r="C16" s="27" t="n">
        <v>26.8</v>
      </c>
      <c r="D16" s="27" t="n">
        <v>2.6</v>
      </c>
    </row>
    <row r="17" customFormat="false" ht="15" hidden="false" customHeight="false" outlineLevel="0" collapsed="false">
      <c r="A17" s="23" t="n">
        <v>2000</v>
      </c>
      <c r="B17" s="23" t="s">
        <v>84</v>
      </c>
      <c r="C17" s="27" t="n">
        <v>26.6</v>
      </c>
      <c r="D17" s="27" t="n">
        <v>2.4</v>
      </c>
    </row>
    <row r="18" customFormat="false" ht="15" hidden="false" customHeight="false" outlineLevel="0" collapsed="false">
      <c r="A18" s="23" t="n">
        <v>2000</v>
      </c>
      <c r="B18" s="23" t="s">
        <v>85</v>
      </c>
      <c r="C18" s="27" t="n">
        <v>27</v>
      </c>
      <c r="D18" s="27" t="n">
        <v>3.4</v>
      </c>
    </row>
    <row r="19" customFormat="false" ht="15" hidden="false" customHeight="false" outlineLevel="0" collapsed="false">
      <c r="A19" s="23" t="n">
        <v>2000</v>
      </c>
      <c r="B19" s="23" t="s">
        <v>86</v>
      </c>
      <c r="C19" s="27" t="n">
        <v>27.2</v>
      </c>
      <c r="D19" s="27" t="n">
        <v>4.6</v>
      </c>
    </row>
    <row r="20" customFormat="false" ht="15" hidden="false" customHeight="false" outlineLevel="0" collapsed="false">
      <c r="A20" s="23" t="n">
        <v>2000</v>
      </c>
      <c r="B20" s="23" t="s">
        <v>87</v>
      </c>
      <c r="C20" s="27" t="n">
        <v>27.4</v>
      </c>
      <c r="D20" s="27" t="n">
        <v>5.1</v>
      </c>
    </row>
    <row r="21" customFormat="false" ht="15" hidden="false" customHeight="false" outlineLevel="0" collapsed="false">
      <c r="A21" s="23" t="n">
        <v>2000</v>
      </c>
      <c r="B21" s="23" t="s">
        <v>88</v>
      </c>
      <c r="C21" s="27" t="n">
        <v>27.6</v>
      </c>
      <c r="D21" s="27" t="n">
        <v>5.1</v>
      </c>
    </row>
    <row r="22" customFormat="false" ht="15" hidden="false" customHeight="false" outlineLevel="0" collapsed="false">
      <c r="A22" s="23" t="n">
        <v>2000</v>
      </c>
      <c r="B22" s="23" t="s">
        <v>89</v>
      </c>
      <c r="C22" s="27" t="n">
        <v>27.8</v>
      </c>
      <c r="D22" s="27" t="n">
        <v>5.9</v>
      </c>
    </row>
    <row r="23" customFormat="false" ht="15" hidden="false" customHeight="false" outlineLevel="0" collapsed="false">
      <c r="A23" s="23" t="n">
        <v>2000</v>
      </c>
      <c r="B23" s="23" t="s">
        <v>90</v>
      </c>
      <c r="C23" s="27" t="n">
        <v>27.9</v>
      </c>
      <c r="D23" s="27" t="n">
        <v>6.8</v>
      </c>
    </row>
    <row r="24" customFormat="false" ht="15" hidden="false" customHeight="false" outlineLevel="0" collapsed="false">
      <c r="A24" s="23" t="n">
        <v>2000</v>
      </c>
      <c r="B24" s="23" t="s">
        <v>91</v>
      </c>
      <c r="C24" s="27" t="n">
        <v>28</v>
      </c>
      <c r="D24" s="27" t="n">
        <v>6.8</v>
      </c>
    </row>
    <row r="25" customFormat="false" ht="15" hidden="false" customHeight="false" outlineLevel="0" collapsed="false">
      <c r="A25" s="23" t="n">
        <v>2000</v>
      </c>
      <c r="B25" s="23" t="s">
        <v>92</v>
      </c>
      <c r="C25" s="27" t="n">
        <v>28.2</v>
      </c>
      <c r="D25" s="27" t="n">
        <v>7.1</v>
      </c>
    </row>
    <row r="26" customFormat="false" ht="15" hidden="false" customHeight="false" outlineLevel="0" collapsed="false">
      <c r="A26" s="23" t="n">
        <v>2000</v>
      </c>
      <c r="B26" s="23" t="s">
        <v>93</v>
      </c>
      <c r="C26" s="27" t="n">
        <v>28.2</v>
      </c>
      <c r="D26" s="27" t="n">
        <v>7.1</v>
      </c>
    </row>
    <row r="27" customFormat="false" ht="15" hidden="false" customHeight="false" outlineLevel="0" collapsed="false">
      <c r="A27" s="23" t="n">
        <v>2000</v>
      </c>
      <c r="B27" s="23" t="s">
        <v>94</v>
      </c>
      <c r="C27" s="27" t="n">
        <v>28.3</v>
      </c>
      <c r="D27" s="27" t="n">
        <v>7</v>
      </c>
    </row>
    <row r="28" customFormat="false" ht="15" hidden="false" customHeight="false" outlineLevel="0" collapsed="false">
      <c r="A28" s="23" t="n">
        <v>2001</v>
      </c>
      <c r="B28" s="23" t="s">
        <v>83</v>
      </c>
      <c r="C28" s="27" t="n">
        <v>28.7</v>
      </c>
      <c r="D28" s="27" t="n">
        <v>7.1</v>
      </c>
    </row>
    <row r="29" customFormat="false" ht="15" hidden="false" customHeight="false" outlineLevel="0" collapsed="false">
      <c r="A29" s="23" t="n">
        <v>2001</v>
      </c>
      <c r="B29" s="23" t="s">
        <v>84</v>
      </c>
      <c r="C29" s="27" t="n">
        <v>28.7</v>
      </c>
      <c r="D29" s="27" t="n">
        <v>7.8</v>
      </c>
    </row>
    <row r="30" customFormat="false" ht="15" hidden="false" customHeight="false" outlineLevel="0" collapsed="false">
      <c r="A30" s="23" t="n">
        <v>2001</v>
      </c>
      <c r="B30" s="23" t="s">
        <v>85</v>
      </c>
      <c r="C30" s="27" t="n">
        <v>28.9</v>
      </c>
      <c r="D30" s="27" t="n">
        <v>7.4</v>
      </c>
    </row>
    <row r="31" customFormat="false" ht="15" hidden="false" customHeight="false" outlineLevel="0" collapsed="false">
      <c r="A31" s="23" t="n">
        <v>2001</v>
      </c>
      <c r="B31" s="23" t="s">
        <v>86</v>
      </c>
      <c r="C31" s="27" t="n">
        <v>29</v>
      </c>
      <c r="D31" s="27" t="n">
        <v>6.5</v>
      </c>
    </row>
    <row r="32" customFormat="false" ht="15" hidden="false" customHeight="false" outlineLevel="0" collapsed="false">
      <c r="A32" s="23" t="n">
        <v>2001</v>
      </c>
      <c r="B32" s="23" t="s">
        <v>87</v>
      </c>
      <c r="C32" s="27" t="n">
        <v>29.1</v>
      </c>
      <c r="D32" s="27" t="n">
        <v>6.4</v>
      </c>
    </row>
    <row r="33" customFormat="false" ht="15" hidden="false" customHeight="false" outlineLevel="0" collapsed="false">
      <c r="A33" s="23" t="n">
        <v>2001</v>
      </c>
      <c r="B33" s="23" t="s">
        <v>88</v>
      </c>
      <c r="C33" s="27" t="n">
        <v>29.3</v>
      </c>
      <c r="D33" s="27" t="n">
        <v>6.3</v>
      </c>
    </row>
    <row r="34" customFormat="false" ht="15" hidden="false" customHeight="false" outlineLevel="0" collapsed="false">
      <c r="A34" s="23" t="n">
        <v>2001</v>
      </c>
      <c r="B34" s="23" t="s">
        <v>89</v>
      </c>
      <c r="C34" s="27" t="n">
        <v>29.3</v>
      </c>
      <c r="D34" s="27" t="n">
        <v>5.3</v>
      </c>
    </row>
    <row r="35" customFormat="false" ht="15" hidden="false" customHeight="false" outlineLevel="0" collapsed="false">
      <c r="A35" s="23" t="n">
        <v>2001</v>
      </c>
      <c r="B35" s="23" t="s">
        <v>90</v>
      </c>
      <c r="C35" s="27" t="n">
        <v>29.2</v>
      </c>
      <c r="D35" s="27" t="n">
        <v>4.6</v>
      </c>
    </row>
    <row r="36" customFormat="false" ht="15" hidden="false" customHeight="false" outlineLevel="0" collapsed="false">
      <c r="A36" s="23" t="n">
        <v>2001</v>
      </c>
      <c r="B36" s="23" t="s">
        <v>91</v>
      </c>
      <c r="C36" s="27" t="n">
        <v>29.3</v>
      </c>
      <c r="D36" s="27" t="n">
        <v>4.4</v>
      </c>
    </row>
    <row r="37" customFormat="false" ht="15" hidden="false" customHeight="false" outlineLevel="0" collapsed="false">
      <c r="A37" s="23" t="n">
        <v>2001</v>
      </c>
      <c r="B37" s="23" t="s">
        <v>92</v>
      </c>
      <c r="C37" s="27" t="n">
        <v>29.3</v>
      </c>
      <c r="D37" s="27" t="n">
        <v>4</v>
      </c>
    </row>
    <row r="38" customFormat="false" ht="15" hidden="false" customHeight="false" outlineLevel="0" collapsed="false">
      <c r="A38" s="23" t="n">
        <v>2001</v>
      </c>
      <c r="B38" s="23" t="s">
        <v>93</v>
      </c>
      <c r="C38" s="27" t="n">
        <v>29.5</v>
      </c>
      <c r="D38" s="27" t="n">
        <v>4.3</v>
      </c>
    </row>
    <row r="39" customFormat="false" ht="15" hidden="false" customHeight="false" outlineLevel="0" collapsed="false">
      <c r="A39" s="23" t="n">
        <v>2001</v>
      </c>
      <c r="B39" s="23" t="s">
        <v>94</v>
      </c>
      <c r="C39" s="27" t="n">
        <v>29.5</v>
      </c>
      <c r="D39" s="27" t="n">
        <v>4.6</v>
      </c>
    </row>
    <row r="40" customFormat="false" ht="15" hidden="false" customHeight="false" outlineLevel="0" collapsed="false">
      <c r="A40" s="23" t="n">
        <v>2002</v>
      </c>
      <c r="B40" s="23" t="s">
        <v>83</v>
      </c>
      <c r="C40" s="27" t="n">
        <v>30.1</v>
      </c>
      <c r="D40" s="27" t="n">
        <v>5</v>
      </c>
    </row>
    <row r="41" customFormat="false" ht="15" hidden="false" customHeight="false" outlineLevel="0" collapsed="false">
      <c r="A41" s="23" t="n">
        <v>2002</v>
      </c>
      <c r="B41" s="23" t="s">
        <v>84</v>
      </c>
      <c r="C41" s="27" t="n">
        <v>30.4</v>
      </c>
      <c r="D41" s="27" t="n">
        <v>5.9</v>
      </c>
    </row>
    <row r="42" customFormat="false" ht="15" hidden="false" customHeight="false" outlineLevel="0" collapsed="false">
      <c r="A42" s="23" t="n">
        <v>2002</v>
      </c>
      <c r="B42" s="23" t="s">
        <v>85</v>
      </c>
      <c r="C42" s="27" t="n">
        <v>30.7</v>
      </c>
      <c r="D42" s="27" t="n">
        <v>6.2</v>
      </c>
    </row>
    <row r="43" customFormat="false" ht="15" hidden="false" customHeight="false" outlineLevel="0" collapsed="false">
      <c r="A43" s="23" t="n">
        <v>2002</v>
      </c>
      <c r="B43" s="23" t="s">
        <v>86</v>
      </c>
      <c r="C43" s="27" t="n">
        <v>31.2</v>
      </c>
      <c r="D43" s="27" t="n">
        <v>7.4</v>
      </c>
    </row>
    <row r="44" customFormat="false" ht="15" hidden="false" customHeight="false" outlineLevel="0" collapsed="false">
      <c r="A44" s="23" t="n">
        <v>2002</v>
      </c>
      <c r="B44" s="23" t="s">
        <v>87</v>
      </c>
      <c r="C44" s="27" t="n">
        <v>31.4</v>
      </c>
      <c r="D44" s="27" t="n">
        <v>7.8</v>
      </c>
    </row>
    <row r="45" customFormat="false" ht="15" hidden="false" customHeight="false" outlineLevel="0" collapsed="false">
      <c r="A45" s="23" t="n">
        <v>2002</v>
      </c>
      <c r="B45" s="23" t="s">
        <v>88</v>
      </c>
      <c r="C45" s="27" t="n">
        <v>31.6</v>
      </c>
      <c r="D45" s="27" t="n">
        <v>8</v>
      </c>
    </row>
    <row r="46" customFormat="false" ht="15" hidden="false" customHeight="false" outlineLevel="0" collapsed="false">
      <c r="A46" s="23" t="n">
        <v>2002</v>
      </c>
      <c r="B46" s="23" t="s">
        <v>89</v>
      </c>
      <c r="C46" s="27" t="n">
        <v>32.1</v>
      </c>
      <c r="D46" s="27" t="n">
        <v>9.6</v>
      </c>
    </row>
    <row r="47" customFormat="false" ht="15" hidden="false" customHeight="false" outlineLevel="0" collapsed="false">
      <c r="A47" s="23" t="n">
        <v>2002</v>
      </c>
      <c r="B47" s="23" t="s">
        <v>90</v>
      </c>
      <c r="C47" s="27" t="n">
        <v>32.2</v>
      </c>
      <c r="D47" s="27" t="n">
        <v>10.4</v>
      </c>
    </row>
    <row r="48" customFormat="false" ht="15" hidden="false" customHeight="false" outlineLevel="0" collapsed="false">
      <c r="A48" s="23" t="n">
        <v>2002</v>
      </c>
      <c r="B48" s="23" t="s">
        <v>91</v>
      </c>
      <c r="C48" s="27" t="n">
        <v>32.6</v>
      </c>
      <c r="D48" s="27" t="n">
        <v>11.2</v>
      </c>
    </row>
    <row r="49" customFormat="false" ht="15" hidden="false" customHeight="false" outlineLevel="0" collapsed="false">
      <c r="A49" s="23" t="n">
        <v>2002</v>
      </c>
      <c r="B49" s="23" t="s">
        <v>92</v>
      </c>
      <c r="C49" s="27" t="n">
        <v>33.1</v>
      </c>
      <c r="D49" s="27" t="n">
        <v>13</v>
      </c>
    </row>
    <row r="50" customFormat="false" ht="15" hidden="false" customHeight="false" outlineLevel="0" collapsed="false">
      <c r="A50" s="23" t="n">
        <v>2002</v>
      </c>
      <c r="B50" s="23" t="s">
        <v>93</v>
      </c>
      <c r="C50" s="27" t="n">
        <v>33.2</v>
      </c>
      <c r="D50" s="27" t="n">
        <v>12.9</v>
      </c>
    </row>
    <row r="51" customFormat="false" ht="15" hidden="false" customHeight="false" outlineLevel="0" collapsed="false">
      <c r="A51" s="23" t="n">
        <v>2002</v>
      </c>
      <c r="B51" s="23" t="s">
        <v>94</v>
      </c>
      <c r="C51" s="27" t="n">
        <v>33.2</v>
      </c>
      <c r="D51" s="27" t="n">
        <v>12.4</v>
      </c>
    </row>
    <row r="52" customFormat="false" ht="15" hidden="false" customHeight="false" outlineLevel="0" collapsed="false">
      <c r="A52" s="23" t="n">
        <v>2003</v>
      </c>
      <c r="B52" s="23" t="s">
        <v>83</v>
      </c>
      <c r="C52" s="27" t="n">
        <v>33.5</v>
      </c>
      <c r="D52" s="27" t="n">
        <v>11.6</v>
      </c>
    </row>
    <row r="53" customFormat="false" ht="15" hidden="false" customHeight="false" outlineLevel="0" collapsed="false">
      <c r="A53" s="23" t="n">
        <v>2003</v>
      </c>
      <c r="B53" s="23" t="s">
        <v>84</v>
      </c>
      <c r="C53" s="27" t="n">
        <v>33.5</v>
      </c>
      <c r="D53" s="27" t="n">
        <v>10.3</v>
      </c>
    </row>
    <row r="54" customFormat="false" ht="15" hidden="false" customHeight="false" outlineLevel="0" collapsed="false">
      <c r="A54" s="23" t="n">
        <v>2003</v>
      </c>
      <c r="B54" s="23" t="s">
        <v>85</v>
      </c>
      <c r="C54" s="27" t="n">
        <v>33.9</v>
      </c>
      <c r="D54" s="27" t="n">
        <v>10.2</v>
      </c>
    </row>
    <row r="55" customFormat="false" ht="15" hidden="false" customHeight="false" outlineLevel="0" collapsed="false">
      <c r="A55" s="23" t="n">
        <v>2003</v>
      </c>
      <c r="B55" s="23" t="s">
        <v>86</v>
      </c>
      <c r="C55" s="27" t="n">
        <v>33.9</v>
      </c>
      <c r="D55" s="27" t="n">
        <v>8.8</v>
      </c>
    </row>
    <row r="56" customFormat="false" ht="15" hidden="false" customHeight="false" outlineLevel="0" collapsed="false">
      <c r="A56" s="23" t="n">
        <v>2003</v>
      </c>
      <c r="B56" s="23" t="s">
        <v>87</v>
      </c>
      <c r="C56" s="27" t="n">
        <v>33.9</v>
      </c>
      <c r="D56" s="27" t="n">
        <v>7.8</v>
      </c>
    </row>
    <row r="57" customFormat="false" ht="15" hidden="false" customHeight="false" outlineLevel="0" collapsed="false">
      <c r="A57" s="23" t="n">
        <v>2003</v>
      </c>
      <c r="B57" s="23" t="s">
        <v>88</v>
      </c>
      <c r="C57" s="27" t="n">
        <v>33.8</v>
      </c>
      <c r="D57" s="27" t="n">
        <v>6.7</v>
      </c>
    </row>
    <row r="58" customFormat="false" ht="15" hidden="false" customHeight="false" outlineLevel="0" collapsed="false">
      <c r="A58" s="23" t="n">
        <v>2003</v>
      </c>
      <c r="B58" s="23" t="s">
        <v>89</v>
      </c>
      <c r="C58" s="27" t="n">
        <v>33.8</v>
      </c>
      <c r="D58" s="27" t="n">
        <v>5.2</v>
      </c>
    </row>
    <row r="59" customFormat="false" ht="15" hidden="false" customHeight="false" outlineLevel="0" collapsed="false">
      <c r="A59" s="23" t="n">
        <v>2003</v>
      </c>
      <c r="B59" s="23" t="s">
        <v>90</v>
      </c>
      <c r="C59" s="27" t="n">
        <v>33.9</v>
      </c>
      <c r="D59" s="27" t="n">
        <v>5.1</v>
      </c>
    </row>
    <row r="60" customFormat="false" ht="15" hidden="false" customHeight="false" outlineLevel="0" collapsed="false">
      <c r="A60" s="23" t="n">
        <v>2003</v>
      </c>
      <c r="B60" s="23" t="s">
        <v>91</v>
      </c>
      <c r="C60" s="27" t="n">
        <v>33.8</v>
      </c>
      <c r="D60" s="27" t="n">
        <v>3.7</v>
      </c>
    </row>
    <row r="61" customFormat="false" ht="15" hidden="false" customHeight="false" outlineLevel="0" collapsed="false">
      <c r="A61" s="23" t="n">
        <v>2003</v>
      </c>
      <c r="B61" s="23" t="s">
        <v>92</v>
      </c>
      <c r="C61" s="27" t="n">
        <v>33.5</v>
      </c>
      <c r="D61" s="27" t="n">
        <v>1.5</v>
      </c>
    </row>
    <row r="62" customFormat="false" ht="15" hidden="false" customHeight="false" outlineLevel="0" collapsed="false">
      <c r="A62" s="23" t="n">
        <v>2003</v>
      </c>
      <c r="B62" s="23" t="s">
        <v>93</v>
      </c>
      <c r="C62" s="27" t="n">
        <v>33.3</v>
      </c>
      <c r="D62" s="27" t="n">
        <v>0.4</v>
      </c>
    </row>
    <row r="63" customFormat="false" ht="15" hidden="false" customHeight="false" outlineLevel="0" collapsed="false">
      <c r="A63" s="23" t="n">
        <v>2003</v>
      </c>
      <c r="B63" s="23" t="s">
        <v>94</v>
      </c>
      <c r="C63" s="27" t="n">
        <v>33.3</v>
      </c>
      <c r="D63" s="27" t="n">
        <v>0.3</v>
      </c>
    </row>
    <row r="64" customFormat="false" ht="15" hidden="false" customHeight="false" outlineLevel="0" collapsed="false">
      <c r="A64" s="23" t="n">
        <v>2004</v>
      </c>
      <c r="B64" s="23" t="s">
        <v>83</v>
      </c>
      <c r="C64" s="27" t="n">
        <v>33.6</v>
      </c>
      <c r="D64" s="27" t="n">
        <v>0.2</v>
      </c>
    </row>
    <row r="65" customFormat="false" ht="15" hidden="false" customHeight="false" outlineLevel="0" collapsed="false">
      <c r="A65" s="23" t="n">
        <v>2004</v>
      </c>
      <c r="B65" s="23" t="s">
        <v>84</v>
      </c>
      <c r="C65" s="27" t="n">
        <v>33.8</v>
      </c>
      <c r="D65" s="27" t="n">
        <v>0.7</v>
      </c>
    </row>
    <row r="66" customFormat="false" ht="15" hidden="false" customHeight="false" outlineLevel="0" collapsed="false">
      <c r="A66" s="23" t="n">
        <v>2004</v>
      </c>
      <c r="B66" s="23" t="s">
        <v>85</v>
      </c>
      <c r="C66" s="27" t="n">
        <v>34</v>
      </c>
      <c r="D66" s="27" t="n">
        <v>0.4</v>
      </c>
    </row>
    <row r="67" customFormat="false" ht="15" hidden="false" customHeight="false" outlineLevel="0" collapsed="false">
      <c r="A67" s="23" t="n">
        <v>2004</v>
      </c>
      <c r="B67" s="23" t="s">
        <v>86</v>
      </c>
      <c r="C67" s="27" t="n">
        <v>34</v>
      </c>
      <c r="D67" s="27" t="n">
        <v>0.2</v>
      </c>
    </row>
    <row r="68" customFormat="false" ht="15" hidden="false" customHeight="false" outlineLevel="0" collapsed="false">
      <c r="A68" s="23" t="n">
        <v>2004</v>
      </c>
      <c r="B68" s="23" t="s">
        <v>87</v>
      </c>
      <c r="C68" s="27" t="n">
        <v>34</v>
      </c>
      <c r="D68" s="27" t="n">
        <v>0.6</v>
      </c>
    </row>
    <row r="69" customFormat="false" ht="15" hidden="false" customHeight="false" outlineLevel="0" collapsed="false">
      <c r="A69" s="23" t="n">
        <v>2004</v>
      </c>
      <c r="B69" s="23" t="s">
        <v>88</v>
      </c>
      <c r="C69" s="27" t="n">
        <v>34.1</v>
      </c>
      <c r="D69" s="27" t="n">
        <v>1.2</v>
      </c>
    </row>
    <row r="70" customFormat="false" ht="15" hidden="false" customHeight="false" outlineLevel="0" collapsed="false">
      <c r="A70" s="23" t="n">
        <v>2004</v>
      </c>
      <c r="B70" s="23" t="s">
        <v>89</v>
      </c>
      <c r="C70" s="27" t="n">
        <v>34.3</v>
      </c>
      <c r="D70" s="27" t="n">
        <v>1.6</v>
      </c>
    </row>
    <row r="71" customFormat="false" ht="15" hidden="false" customHeight="false" outlineLevel="0" collapsed="false">
      <c r="A71" s="23" t="n">
        <v>2004</v>
      </c>
      <c r="B71" s="23" t="s">
        <v>90</v>
      </c>
      <c r="C71" s="27" t="n">
        <v>34.3</v>
      </c>
      <c r="D71" s="27" t="n">
        <v>1</v>
      </c>
    </row>
    <row r="72" customFormat="false" ht="15" hidden="false" customHeight="false" outlineLevel="0" collapsed="false">
      <c r="A72" s="23" t="n">
        <v>2004</v>
      </c>
      <c r="B72" s="23" t="s">
        <v>91</v>
      </c>
      <c r="C72" s="27" t="n">
        <v>34.3</v>
      </c>
      <c r="D72" s="27" t="n">
        <v>1.3</v>
      </c>
    </row>
    <row r="73" customFormat="false" ht="15" hidden="false" customHeight="false" outlineLevel="0" collapsed="false">
      <c r="A73" s="23" t="n">
        <v>2004</v>
      </c>
      <c r="B73" s="23" t="s">
        <v>92</v>
      </c>
      <c r="C73" s="27" t="n">
        <v>34.4</v>
      </c>
      <c r="D73" s="27" t="n">
        <v>2.4</v>
      </c>
    </row>
    <row r="74" customFormat="false" ht="15" hidden="false" customHeight="false" outlineLevel="0" collapsed="false">
      <c r="A74" s="23" t="n">
        <v>2004</v>
      </c>
      <c r="B74" s="23" t="s">
        <v>93</v>
      </c>
      <c r="C74" s="27" t="n">
        <v>34.5</v>
      </c>
      <c r="D74" s="27" t="n">
        <v>3.7</v>
      </c>
    </row>
    <row r="75" customFormat="false" ht="15" hidden="false" customHeight="false" outlineLevel="0" collapsed="false">
      <c r="A75" s="23" t="n">
        <v>2004</v>
      </c>
      <c r="B75" s="23" t="s">
        <v>94</v>
      </c>
      <c r="C75" s="27" t="n">
        <v>34.5</v>
      </c>
      <c r="D75" s="27" t="n">
        <v>3.4</v>
      </c>
    </row>
    <row r="76" customFormat="false" ht="15" hidden="false" customHeight="false" outlineLevel="0" collapsed="false">
      <c r="A76" s="23" t="n">
        <v>2005</v>
      </c>
      <c r="B76" s="23" t="s">
        <v>83</v>
      </c>
      <c r="C76" s="27" t="n">
        <v>34.6</v>
      </c>
      <c r="D76" s="27" t="n">
        <v>3</v>
      </c>
    </row>
    <row r="77" customFormat="false" ht="15" hidden="false" customHeight="false" outlineLevel="0" collapsed="false">
      <c r="A77" s="23" t="n">
        <v>2005</v>
      </c>
      <c r="B77" s="23" t="s">
        <v>84</v>
      </c>
      <c r="C77" s="27" t="n">
        <v>34.6</v>
      </c>
      <c r="D77" s="27" t="n">
        <v>2.6</v>
      </c>
    </row>
    <row r="78" customFormat="false" ht="15" hidden="false" customHeight="false" outlineLevel="0" collapsed="false">
      <c r="A78" s="23" t="n">
        <v>2005</v>
      </c>
      <c r="B78" s="23" t="s">
        <v>85</v>
      </c>
      <c r="C78" s="27" t="n">
        <v>35</v>
      </c>
      <c r="D78" s="27" t="n">
        <v>3</v>
      </c>
    </row>
    <row r="79" customFormat="false" ht="15" hidden="false" customHeight="false" outlineLevel="0" collapsed="false">
      <c r="A79" s="23" t="n">
        <v>2005</v>
      </c>
      <c r="B79" s="23" t="s">
        <v>86</v>
      </c>
      <c r="C79" s="27" t="n">
        <v>35.1</v>
      </c>
      <c r="D79" s="27" t="n">
        <v>3.4</v>
      </c>
    </row>
    <row r="80" customFormat="false" ht="15" hidden="false" customHeight="false" outlineLevel="0" collapsed="false">
      <c r="A80" s="23" t="n">
        <v>2005</v>
      </c>
      <c r="B80" s="23" t="s">
        <v>87</v>
      </c>
      <c r="C80" s="27" t="n">
        <v>35.1</v>
      </c>
      <c r="D80" s="27" t="n">
        <v>3.3</v>
      </c>
    </row>
    <row r="81" customFormat="false" ht="15" hidden="false" customHeight="false" outlineLevel="0" collapsed="false">
      <c r="A81" s="23" t="n">
        <v>2005</v>
      </c>
      <c r="B81" s="23" t="s">
        <v>88</v>
      </c>
      <c r="C81" s="27" t="n">
        <v>35.1</v>
      </c>
      <c r="D81" s="27" t="n">
        <v>2.8</v>
      </c>
    </row>
    <row r="82" customFormat="false" ht="15" hidden="false" customHeight="false" outlineLevel="0" collapsed="false">
      <c r="A82" s="23" t="n">
        <v>2005</v>
      </c>
      <c r="B82" s="23" t="s">
        <v>89</v>
      </c>
      <c r="C82" s="27" t="n">
        <v>35.4</v>
      </c>
      <c r="D82" s="27" t="n">
        <v>3.4</v>
      </c>
    </row>
    <row r="83" customFormat="false" ht="15" hidden="false" customHeight="false" outlineLevel="0" collapsed="false">
      <c r="A83" s="23" t="n">
        <v>2005</v>
      </c>
      <c r="B83" s="23" t="s">
        <v>90</v>
      </c>
      <c r="C83" s="27" t="n">
        <v>35.6</v>
      </c>
      <c r="D83" s="27" t="n">
        <v>3.9</v>
      </c>
    </row>
    <row r="84" customFormat="false" ht="15" hidden="false" customHeight="false" outlineLevel="0" collapsed="false">
      <c r="A84" s="23" t="n">
        <v>2005</v>
      </c>
      <c r="B84" s="23" t="s">
        <v>91</v>
      </c>
      <c r="C84" s="27" t="n">
        <v>35.7</v>
      </c>
      <c r="D84" s="27" t="n">
        <v>4.4</v>
      </c>
    </row>
    <row r="85" customFormat="false" ht="15" hidden="false" customHeight="false" outlineLevel="0" collapsed="false">
      <c r="A85" s="23" t="n">
        <v>2005</v>
      </c>
      <c r="B85" s="23" t="s">
        <v>92</v>
      </c>
      <c r="C85" s="27" t="n">
        <v>35.7</v>
      </c>
      <c r="D85" s="27" t="n">
        <v>4</v>
      </c>
    </row>
    <row r="86" customFormat="false" ht="15" hidden="false" customHeight="false" outlineLevel="0" collapsed="false">
      <c r="A86" s="23" t="n">
        <v>2005</v>
      </c>
      <c r="B86" s="23" t="s">
        <v>93</v>
      </c>
      <c r="C86" s="27" t="n">
        <v>35.7</v>
      </c>
      <c r="D86" s="27" t="n">
        <v>3.4</v>
      </c>
    </row>
    <row r="87" customFormat="false" ht="15" hidden="false" customHeight="false" outlineLevel="0" collapsed="false">
      <c r="A87" s="23" t="n">
        <v>2005</v>
      </c>
      <c r="B87" s="23" t="s">
        <v>94</v>
      </c>
      <c r="C87" s="27" t="n">
        <v>35.7</v>
      </c>
      <c r="D87" s="27" t="n">
        <v>3.6</v>
      </c>
    </row>
    <row r="88" customFormat="false" ht="15" hidden="false" customHeight="false" outlineLevel="0" collapsed="false">
      <c r="A88" s="23" t="n">
        <v>2006</v>
      </c>
      <c r="B88" s="23" t="s">
        <v>83</v>
      </c>
      <c r="C88" s="27" t="n">
        <v>35.9</v>
      </c>
      <c r="D88" s="27" t="n">
        <v>4</v>
      </c>
    </row>
    <row r="89" customFormat="false" ht="15" hidden="false" customHeight="false" outlineLevel="0" collapsed="false">
      <c r="A89" s="23" t="n">
        <v>2006</v>
      </c>
      <c r="B89" s="23" t="s">
        <v>84</v>
      </c>
      <c r="C89" s="27" t="n">
        <v>36</v>
      </c>
      <c r="D89" s="27" t="n">
        <v>3.9</v>
      </c>
    </row>
    <row r="90" customFormat="false" ht="15" hidden="false" customHeight="false" outlineLevel="0" collapsed="false">
      <c r="A90" s="23" t="n">
        <v>2006</v>
      </c>
      <c r="B90" s="23" t="s">
        <v>85</v>
      </c>
      <c r="C90" s="27" t="n">
        <v>36.2</v>
      </c>
      <c r="D90" s="27" t="n">
        <v>3.4</v>
      </c>
    </row>
    <row r="91" customFormat="false" ht="15" hidden="false" customHeight="false" outlineLevel="0" collapsed="false">
      <c r="A91" s="23" t="n">
        <v>2006</v>
      </c>
      <c r="B91" s="23" t="s">
        <v>86</v>
      </c>
      <c r="C91" s="27" t="n">
        <v>36.3</v>
      </c>
      <c r="D91" s="27" t="n">
        <v>3.3</v>
      </c>
    </row>
    <row r="92" customFormat="false" ht="15" hidden="false" customHeight="false" outlineLevel="0" collapsed="false">
      <c r="A92" s="23" t="n">
        <v>2006</v>
      </c>
      <c r="B92" s="23" t="s">
        <v>87</v>
      </c>
      <c r="C92" s="27" t="n">
        <v>36.5</v>
      </c>
      <c r="D92" s="27" t="n">
        <v>3.9</v>
      </c>
    </row>
    <row r="93" customFormat="false" ht="15" hidden="false" customHeight="false" outlineLevel="0" collapsed="false">
      <c r="A93" s="23" t="n">
        <v>2006</v>
      </c>
      <c r="B93" s="23" t="s">
        <v>88</v>
      </c>
      <c r="C93" s="27" t="n">
        <v>36.8</v>
      </c>
      <c r="D93" s="27" t="n">
        <v>4.9</v>
      </c>
    </row>
    <row r="94" customFormat="false" ht="15" hidden="false" customHeight="false" outlineLevel="0" collapsed="false">
      <c r="A94" s="23" t="n">
        <v>2006</v>
      </c>
      <c r="B94" s="23" t="s">
        <v>89</v>
      </c>
      <c r="C94" s="27" t="n">
        <v>37.2</v>
      </c>
      <c r="D94" s="27" t="n">
        <v>5</v>
      </c>
    </row>
    <row r="95" customFormat="false" ht="15" hidden="false" customHeight="false" outlineLevel="0" collapsed="false">
      <c r="A95" s="23" t="n">
        <v>2006</v>
      </c>
      <c r="B95" s="23" t="s">
        <v>90</v>
      </c>
      <c r="C95" s="27" t="n">
        <v>37.5</v>
      </c>
      <c r="D95" s="27" t="n">
        <v>5.4</v>
      </c>
    </row>
    <row r="96" customFormat="false" ht="15" hidden="false" customHeight="false" outlineLevel="0" collapsed="false">
      <c r="A96" s="23" t="n">
        <v>2006</v>
      </c>
      <c r="B96" s="23" t="s">
        <v>91</v>
      </c>
      <c r="C96" s="27" t="n">
        <v>37.6</v>
      </c>
      <c r="D96" s="27" t="n">
        <v>5.3</v>
      </c>
    </row>
    <row r="97" customFormat="false" ht="15" hidden="false" customHeight="false" outlineLevel="0" collapsed="false">
      <c r="A97" s="23" t="n">
        <v>2006</v>
      </c>
      <c r="B97" s="23" t="s">
        <v>92</v>
      </c>
      <c r="C97" s="27" t="n">
        <v>37.6</v>
      </c>
      <c r="D97" s="27" t="n">
        <v>5.4</v>
      </c>
    </row>
    <row r="98" customFormat="false" ht="15" hidden="false" customHeight="false" outlineLevel="0" collapsed="false">
      <c r="A98" s="23" t="n">
        <v>2006</v>
      </c>
      <c r="B98" s="23" t="s">
        <v>93</v>
      </c>
      <c r="C98" s="27" t="n">
        <v>37.6</v>
      </c>
      <c r="D98" s="27" t="n">
        <v>5.4</v>
      </c>
    </row>
    <row r="99" customFormat="false" ht="15" hidden="false" customHeight="false" outlineLevel="0" collapsed="false">
      <c r="A99" s="23" t="n">
        <v>2006</v>
      </c>
      <c r="B99" s="23" t="s">
        <v>94</v>
      </c>
      <c r="C99" s="27" t="n">
        <v>37.8</v>
      </c>
      <c r="D99" s="27" t="n">
        <v>5.8</v>
      </c>
    </row>
    <row r="100" customFormat="false" ht="15" hidden="false" customHeight="false" outlineLevel="0" collapsed="false">
      <c r="A100" s="23" t="n">
        <v>2007</v>
      </c>
      <c r="B100" s="23" t="s">
        <v>83</v>
      </c>
      <c r="C100" s="27" t="n">
        <v>38.1</v>
      </c>
      <c r="D100" s="27" t="n">
        <v>6</v>
      </c>
    </row>
    <row r="101" customFormat="false" ht="15" hidden="false" customHeight="false" outlineLevel="0" collapsed="false">
      <c r="A101" s="23" t="n">
        <v>2007</v>
      </c>
      <c r="B101" s="23" t="s">
        <v>84</v>
      </c>
      <c r="C101" s="27" t="n">
        <v>38.1</v>
      </c>
      <c r="D101" s="27" t="n">
        <v>5.7</v>
      </c>
    </row>
    <row r="102" customFormat="false" ht="15" hidden="false" customHeight="false" outlineLevel="0" collapsed="false">
      <c r="A102" s="23" t="n">
        <v>2007</v>
      </c>
      <c r="B102" s="23" t="s">
        <v>85</v>
      </c>
      <c r="C102" s="27" t="n">
        <v>38.4</v>
      </c>
      <c r="D102" s="27" t="n">
        <v>6.1</v>
      </c>
    </row>
    <row r="103" customFormat="false" ht="15" hidden="false" customHeight="false" outlineLevel="0" collapsed="false">
      <c r="A103" s="23" t="n">
        <v>2007</v>
      </c>
      <c r="B103" s="23" t="s">
        <v>86</v>
      </c>
      <c r="C103" s="27" t="n">
        <v>38.8</v>
      </c>
      <c r="D103" s="27" t="n">
        <v>7</v>
      </c>
    </row>
    <row r="104" customFormat="false" ht="15" hidden="false" customHeight="false" outlineLevel="0" collapsed="false">
      <c r="A104" s="23" t="n">
        <v>2007</v>
      </c>
      <c r="B104" s="23" t="s">
        <v>87</v>
      </c>
      <c r="C104" s="27" t="n">
        <v>39.1</v>
      </c>
      <c r="D104" s="27" t="n">
        <v>6.9</v>
      </c>
    </row>
    <row r="105" customFormat="false" ht="15" hidden="false" customHeight="false" outlineLevel="0" collapsed="false">
      <c r="A105" s="23" t="n">
        <v>2007</v>
      </c>
      <c r="B105" s="23" t="s">
        <v>88</v>
      </c>
      <c r="C105" s="27" t="n">
        <v>39.4</v>
      </c>
      <c r="D105" s="27" t="n">
        <v>7</v>
      </c>
    </row>
    <row r="106" customFormat="false" ht="15" hidden="false" customHeight="false" outlineLevel="0" collapsed="false">
      <c r="A106" s="23" t="n">
        <v>2007</v>
      </c>
      <c r="B106" s="23" t="s">
        <v>89</v>
      </c>
      <c r="C106" s="27" t="n">
        <v>39.8</v>
      </c>
      <c r="D106" s="27" t="n">
        <v>7</v>
      </c>
    </row>
    <row r="107" customFormat="false" ht="15" hidden="false" customHeight="false" outlineLevel="0" collapsed="false">
      <c r="A107" s="23" t="n">
        <v>2007</v>
      </c>
      <c r="B107" s="23" t="s">
        <v>90</v>
      </c>
      <c r="C107" s="27" t="n">
        <v>40</v>
      </c>
      <c r="D107" s="27" t="n">
        <v>6.7</v>
      </c>
    </row>
    <row r="108" customFormat="false" ht="15" hidden="false" customHeight="false" outlineLevel="0" collapsed="false">
      <c r="A108" s="23" t="n">
        <v>2007</v>
      </c>
      <c r="B108" s="23" t="s">
        <v>91</v>
      </c>
      <c r="C108" s="27" t="n">
        <v>40.3</v>
      </c>
      <c r="D108" s="27" t="n">
        <v>7.2</v>
      </c>
    </row>
    <row r="109" customFormat="false" ht="15" hidden="false" customHeight="false" outlineLevel="0" collapsed="false">
      <c r="A109" s="23" t="n">
        <v>2007</v>
      </c>
      <c r="B109" s="23" t="s">
        <v>92</v>
      </c>
      <c r="C109" s="27" t="n">
        <v>40.7</v>
      </c>
      <c r="D109" s="27" t="n">
        <v>7.9</v>
      </c>
    </row>
    <row r="110" customFormat="false" ht="15" hidden="false" customHeight="false" outlineLevel="0" collapsed="false">
      <c r="A110" s="23" t="n">
        <v>2007</v>
      </c>
      <c r="B110" s="23" t="s">
        <v>93</v>
      </c>
      <c r="C110" s="27" t="n">
        <v>40.8</v>
      </c>
      <c r="D110" s="27" t="n">
        <v>8.4</v>
      </c>
    </row>
    <row r="111" customFormat="false" ht="15" hidden="false" customHeight="false" outlineLevel="0" collapsed="false">
      <c r="A111" s="23" t="n">
        <v>2007</v>
      </c>
      <c r="B111" s="23" t="s">
        <v>94</v>
      </c>
      <c r="C111" s="27" t="n">
        <v>41.2</v>
      </c>
      <c r="D111" s="27" t="n">
        <v>9</v>
      </c>
    </row>
    <row r="112" customFormat="false" ht="15" hidden="false" customHeight="false" outlineLevel="0" collapsed="false">
      <c r="A112" s="23" t="n">
        <v>2008</v>
      </c>
      <c r="B112" s="23" t="s">
        <v>83</v>
      </c>
      <c r="C112" s="27" t="n">
        <v>41.6</v>
      </c>
      <c r="D112" s="27" t="n">
        <v>9.3</v>
      </c>
    </row>
    <row r="113" customFormat="false" ht="15" hidden="false" customHeight="false" outlineLevel="0" collapsed="false">
      <c r="A113" s="23" t="n">
        <v>2008</v>
      </c>
      <c r="B113" s="23" t="s">
        <v>84</v>
      </c>
      <c r="C113" s="27" t="n">
        <v>41.8</v>
      </c>
      <c r="D113" s="27" t="n">
        <v>9.8</v>
      </c>
    </row>
    <row r="114" customFormat="false" ht="15" hidden="false" customHeight="false" outlineLevel="0" collapsed="false">
      <c r="A114" s="23" t="n">
        <v>2008</v>
      </c>
      <c r="B114" s="23" t="s">
        <v>85</v>
      </c>
      <c r="C114" s="27" t="n">
        <v>42.5</v>
      </c>
      <c r="D114" s="27" t="n">
        <v>10.6</v>
      </c>
    </row>
    <row r="115" customFormat="false" ht="15" hidden="false" customHeight="false" outlineLevel="0" collapsed="false">
      <c r="A115" s="23" t="n">
        <v>2008</v>
      </c>
      <c r="B115" s="23" t="s">
        <v>86</v>
      </c>
      <c r="C115" s="27" t="n">
        <v>43.2</v>
      </c>
      <c r="D115" s="27" t="n">
        <v>11.1</v>
      </c>
    </row>
    <row r="116" customFormat="false" ht="15" hidden="false" customHeight="false" outlineLevel="0" collapsed="false">
      <c r="A116" s="23" t="n">
        <v>2008</v>
      </c>
      <c r="B116" s="23" t="s">
        <v>87</v>
      </c>
      <c r="C116" s="27" t="n">
        <v>43.7</v>
      </c>
      <c r="D116" s="27" t="n">
        <v>11.7</v>
      </c>
    </row>
    <row r="117" customFormat="false" ht="15" hidden="false" customHeight="false" outlineLevel="0" collapsed="false">
      <c r="A117" s="23" t="n">
        <v>2008</v>
      </c>
      <c r="B117" s="23" t="s">
        <v>88</v>
      </c>
      <c r="C117" s="27" t="n">
        <v>44.3</v>
      </c>
      <c r="D117" s="27" t="n">
        <v>12.2</v>
      </c>
    </row>
    <row r="118" customFormat="false" ht="15" hidden="false" customHeight="false" outlineLevel="0" collapsed="false">
      <c r="A118" s="23" t="n">
        <v>2008</v>
      </c>
      <c r="B118" s="23" t="s">
        <v>89</v>
      </c>
      <c r="C118" s="27" t="n">
        <v>45.1</v>
      </c>
      <c r="D118" s="27" t="n">
        <v>13.4</v>
      </c>
    </row>
    <row r="119" customFormat="false" ht="15" hidden="false" customHeight="false" outlineLevel="0" collapsed="false">
      <c r="A119" s="23" t="n">
        <v>2008</v>
      </c>
      <c r="B119" s="23" t="s">
        <v>90</v>
      </c>
      <c r="C119" s="27" t="n">
        <v>45.5</v>
      </c>
      <c r="D119" s="27" t="n">
        <v>13.7</v>
      </c>
    </row>
    <row r="120" customFormat="false" ht="15" hidden="false" customHeight="false" outlineLevel="0" collapsed="false">
      <c r="A120" s="23" t="n">
        <v>2008</v>
      </c>
      <c r="B120" s="23" t="s">
        <v>91</v>
      </c>
      <c r="C120" s="27" t="n">
        <v>45.6</v>
      </c>
      <c r="D120" s="27" t="n">
        <v>13.1</v>
      </c>
    </row>
    <row r="121" customFormat="false" ht="15" hidden="false" customHeight="false" outlineLevel="0" collapsed="false">
      <c r="A121" s="23" t="n">
        <v>2008</v>
      </c>
      <c r="B121" s="23" t="s">
        <v>92</v>
      </c>
      <c r="C121" s="27" t="n">
        <v>45.6</v>
      </c>
      <c r="D121" s="27" t="n">
        <v>12.1</v>
      </c>
    </row>
    <row r="122" customFormat="false" ht="15" hidden="false" customHeight="false" outlineLevel="0" collapsed="false">
      <c r="A122" s="23" t="n">
        <v>2008</v>
      </c>
      <c r="B122" s="23" t="s">
        <v>93</v>
      </c>
      <c r="C122" s="27" t="n">
        <v>45.6</v>
      </c>
      <c r="D122" s="27" t="n">
        <v>11.8</v>
      </c>
    </row>
    <row r="123" customFormat="false" ht="15" hidden="false" customHeight="false" outlineLevel="0" collapsed="false">
      <c r="A123" s="23" t="n">
        <v>2008</v>
      </c>
      <c r="B123" s="23" t="s">
        <v>94</v>
      </c>
      <c r="C123" s="27" t="n">
        <v>45.1</v>
      </c>
      <c r="D123" s="27" t="n">
        <v>9.5</v>
      </c>
    </row>
    <row r="124" customFormat="false" ht="15" hidden="false" customHeight="false" outlineLevel="0" collapsed="false">
      <c r="A124" s="23" t="n">
        <v>2009</v>
      </c>
      <c r="B124" s="23" t="s">
        <v>83</v>
      </c>
      <c r="C124" s="27" t="n">
        <v>45.3</v>
      </c>
      <c r="D124" s="27" t="n">
        <v>8.1</v>
      </c>
    </row>
    <row r="125" customFormat="false" ht="15" hidden="false" customHeight="false" outlineLevel="0" collapsed="false">
      <c r="A125" s="23" t="n">
        <v>2009</v>
      </c>
      <c r="B125" s="23" t="s">
        <v>84</v>
      </c>
      <c r="C125" s="27" t="n">
        <v>45.7</v>
      </c>
      <c r="D125" s="27" t="n">
        <v>8.6</v>
      </c>
    </row>
    <row r="126" customFormat="false" ht="15" hidden="false" customHeight="false" outlineLevel="0" collapsed="false">
      <c r="A126" s="23" t="n">
        <v>2009</v>
      </c>
      <c r="B126" s="23" t="s">
        <v>85</v>
      </c>
      <c r="C126" s="27" t="n">
        <v>46.3</v>
      </c>
      <c r="D126" s="27" t="n">
        <v>8.5</v>
      </c>
    </row>
    <row r="127" customFormat="false" ht="15" hidden="false" customHeight="false" outlineLevel="0" collapsed="false">
      <c r="A127" s="23" t="n">
        <v>2009</v>
      </c>
      <c r="B127" s="23" t="s">
        <v>86</v>
      </c>
      <c r="C127" s="27" t="n">
        <v>46.6</v>
      </c>
      <c r="D127" s="27" t="n">
        <v>8.4</v>
      </c>
    </row>
    <row r="128" customFormat="false" ht="15" hidden="false" customHeight="false" outlineLevel="0" collapsed="false">
      <c r="A128" s="23" t="n">
        <v>2009</v>
      </c>
      <c r="B128" s="23" t="s">
        <v>87</v>
      </c>
      <c r="C128" s="27" t="n">
        <v>46.8</v>
      </c>
      <c r="D128" s="27" t="n">
        <v>8</v>
      </c>
    </row>
    <row r="129" customFormat="false" ht="15" hidden="false" customHeight="false" outlineLevel="0" collapsed="false">
      <c r="A129" s="23" t="n">
        <v>2009</v>
      </c>
      <c r="B129" s="23" t="s">
        <v>88</v>
      </c>
      <c r="C129" s="27" t="n">
        <v>47</v>
      </c>
      <c r="D129" s="27" t="n">
        <v>6.9</v>
      </c>
    </row>
    <row r="130" customFormat="false" ht="15" hidden="false" customHeight="false" outlineLevel="0" collapsed="false">
      <c r="A130" s="23" t="n">
        <v>2009</v>
      </c>
      <c r="B130" s="23" t="s">
        <v>89</v>
      </c>
      <c r="C130" s="27" t="n">
        <v>47.5</v>
      </c>
      <c r="D130" s="27" t="n">
        <v>6.7</v>
      </c>
    </row>
    <row r="131" customFormat="false" ht="15" hidden="false" customHeight="false" outlineLevel="0" collapsed="false">
      <c r="A131" s="23" t="n">
        <v>2009</v>
      </c>
      <c r="B131" s="23" t="s">
        <v>90</v>
      </c>
      <c r="C131" s="27" t="n">
        <v>47.6</v>
      </c>
      <c r="D131" s="27" t="n">
        <v>6.4</v>
      </c>
    </row>
    <row r="132" customFormat="false" ht="15" hidden="false" customHeight="false" outlineLevel="0" collapsed="false">
      <c r="A132" s="23" t="n">
        <v>2009</v>
      </c>
      <c r="B132" s="23" t="s">
        <v>91</v>
      </c>
      <c r="C132" s="27" t="n">
        <v>47.8</v>
      </c>
      <c r="D132" s="27" t="n">
        <v>6.1</v>
      </c>
    </row>
    <row r="133" customFormat="false" ht="15" hidden="false" customHeight="false" outlineLevel="0" collapsed="false">
      <c r="A133" s="23" t="n">
        <v>2009</v>
      </c>
      <c r="B133" s="23" t="s">
        <v>92</v>
      </c>
      <c r="C133" s="27" t="n">
        <v>47.8</v>
      </c>
      <c r="D133" s="27" t="n">
        <v>5.9</v>
      </c>
    </row>
    <row r="134" customFormat="false" ht="15" hidden="false" customHeight="false" outlineLevel="0" collapsed="false">
      <c r="A134" s="23" t="n">
        <v>2009</v>
      </c>
      <c r="B134" s="23" t="s">
        <v>93</v>
      </c>
      <c r="C134" s="27" t="n">
        <v>47.8</v>
      </c>
      <c r="D134" s="27" t="n">
        <v>5.8</v>
      </c>
    </row>
    <row r="135" customFormat="false" ht="15" hidden="false" customHeight="false" outlineLevel="0" collapsed="false">
      <c r="A135" s="23" t="n">
        <v>2009</v>
      </c>
      <c r="B135" s="23" t="s">
        <v>94</v>
      </c>
      <c r="C135" s="27" t="n">
        <v>48</v>
      </c>
      <c r="D135" s="27" t="n">
        <v>6.3</v>
      </c>
    </row>
    <row r="136" customFormat="false" ht="15" hidden="false" customHeight="false" outlineLevel="0" collapsed="false">
      <c r="A136" s="23" t="n">
        <v>2010</v>
      </c>
      <c r="B136" s="23" t="s">
        <v>83</v>
      </c>
      <c r="C136" s="27" t="n">
        <v>48.1</v>
      </c>
      <c r="D136" s="27" t="n">
        <v>6.2</v>
      </c>
    </row>
    <row r="137" customFormat="false" ht="15" hidden="false" customHeight="false" outlineLevel="0" collapsed="false">
      <c r="A137" s="23" t="n">
        <v>2010</v>
      </c>
      <c r="B137" s="23" t="s">
        <v>84</v>
      </c>
      <c r="C137" s="27" t="n">
        <v>48.4</v>
      </c>
      <c r="D137" s="27" t="n">
        <v>5.7</v>
      </c>
    </row>
    <row r="138" customFormat="false" ht="15" hidden="false" customHeight="false" outlineLevel="0" collapsed="false">
      <c r="A138" s="23" t="n">
        <v>2010</v>
      </c>
      <c r="B138" s="23" t="s">
        <v>85</v>
      </c>
      <c r="C138" s="27" t="n">
        <v>48.8</v>
      </c>
      <c r="D138" s="27" t="n">
        <v>5.1</v>
      </c>
    </row>
    <row r="139" customFormat="false" ht="15" hidden="false" customHeight="false" outlineLevel="0" collapsed="false">
      <c r="A139" s="23" t="n">
        <v>2010</v>
      </c>
      <c r="B139" s="23" t="s">
        <v>86</v>
      </c>
      <c r="C139" s="27" t="n">
        <v>48.8</v>
      </c>
      <c r="D139" s="27" t="n">
        <v>4.8</v>
      </c>
    </row>
    <row r="140" customFormat="false" ht="15" hidden="false" customHeight="false" outlineLevel="0" collapsed="false">
      <c r="A140" s="23" t="n">
        <v>2010</v>
      </c>
      <c r="B140" s="23" t="s">
        <v>87</v>
      </c>
      <c r="C140" s="27" t="n">
        <v>48.9</v>
      </c>
      <c r="D140" s="27" t="n">
        <v>4.6</v>
      </c>
    </row>
    <row r="141" customFormat="false" ht="15" hidden="false" customHeight="false" outlineLevel="0" collapsed="false">
      <c r="A141" s="23" t="n">
        <v>2010</v>
      </c>
      <c r="B141" s="23" t="s">
        <v>88</v>
      </c>
      <c r="C141" s="27" t="n">
        <v>48.9</v>
      </c>
      <c r="D141" s="27" t="n">
        <v>4.1</v>
      </c>
    </row>
    <row r="142" customFormat="false" ht="15" hidden="false" customHeight="false" outlineLevel="0" collapsed="false">
      <c r="A142" s="23" t="n">
        <v>2010</v>
      </c>
      <c r="B142" s="23" t="s">
        <v>89</v>
      </c>
      <c r="C142" s="27" t="n">
        <v>49.3</v>
      </c>
      <c r="D142" s="27" t="n">
        <v>3.7</v>
      </c>
    </row>
    <row r="143" customFormat="false" ht="15" hidden="false" customHeight="false" outlineLevel="0" collapsed="false">
      <c r="A143" s="23" t="n">
        <v>2010</v>
      </c>
      <c r="B143" s="23" t="s">
        <v>90</v>
      </c>
      <c r="C143" s="27" t="n">
        <v>49.3</v>
      </c>
      <c r="D143" s="27" t="n">
        <v>3.5</v>
      </c>
    </row>
    <row r="144" customFormat="false" ht="15" hidden="false" customHeight="false" outlineLevel="0" collapsed="false">
      <c r="A144" s="23" t="n">
        <v>2010</v>
      </c>
      <c r="B144" s="23" t="s">
        <v>91</v>
      </c>
      <c r="C144" s="27" t="n">
        <v>49.4</v>
      </c>
      <c r="D144" s="27" t="n">
        <v>3.2</v>
      </c>
    </row>
    <row r="145" customFormat="false" ht="15" hidden="false" customHeight="false" outlineLevel="0" collapsed="false">
      <c r="A145" s="23" t="n">
        <v>2010</v>
      </c>
      <c r="B145" s="23" t="s">
        <v>92</v>
      </c>
      <c r="C145" s="27" t="n">
        <v>49.4</v>
      </c>
      <c r="D145" s="27" t="n">
        <v>3.4</v>
      </c>
    </row>
    <row r="146" customFormat="false" ht="15" hidden="false" customHeight="false" outlineLevel="0" collapsed="false">
      <c r="A146" s="23" t="n">
        <v>2010</v>
      </c>
      <c r="B146" s="23" t="s">
        <v>93</v>
      </c>
      <c r="C146" s="27" t="n">
        <v>49.5</v>
      </c>
      <c r="D146" s="27" t="n">
        <v>3.6</v>
      </c>
    </row>
    <row r="147" customFormat="false" ht="15" hidden="false" customHeight="false" outlineLevel="0" collapsed="false">
      <c r="A147" s="23" t="n">
        <v>2010</v>
      </c>
      <c r="B147" s="23" t="s">
        <v>94</v>
      </c>
      <c r="C147" s="27" t="n">
        <v>49.6</v>
      </c>
      <c r="D147" s="27" t="n">
        <v>3.5</v>
      </c>
    </row>
    <row r="148" customFormat="false" ht="15" hidden="false" customHeight="false" outlineLevel="0" collapsed="false">
      <c r="A148" s="23" t="n">
        <v>2011</v>
      </c>
      <c r="B148" s="23" t="s">
        <v>83</v>
      </c>
      <c r="C148" s="27" t="n">
        <v>49.9</v>
      </c>
      <c r="D148" s="27" t="n">
        <v>3.7</v>
      </c>
    </row>
    <row r="149" customFormat="false" ht="15" hidden="false" customHeight="false" outlineLevel="0" collapsed="false">
      <c r="A149" s="23" t="n">
        <v>2011</v>
      </c>
      <c r="B149" s="23" t="s">
        <v>84</v>
      </c>
      <c r="C149" s="27" t="n">
        <v>50.1</v>
      </c>
      <c r="D149" s="27" t="n">
        <v>3.7</v>
      </c>
    </row>
    <row r="150" customFormat="false" ht="15" hidden="false" customHeight="false" outlineLevel="0" collapsed="false">
      <c r="A150" s="23" t="n">
        <v>2011</v>
      </c>
      <c r="B150" s="23" t="s">
        <v>85</v>
      </c>
      <c r="C150" s="27" t="n">
        <v>50.7</v>
      </c>
      <c r="D150" s="27" t="n">
        <v>4.1</v>
      </c>
    </row>
    <row r="151" customFormat="false" ht="15" hidden="false" customHeight="false" outlineLevel="0" collapsed="false">
      <c r="A151" s="23" t="n">
        <v>2011</v>
      </c>
      <c r="B151" s="23" t="s">
        <v>86</v>
      </c>
      <c r="C151" s="27" t="n">
        <v>50.9</v>
      </c>
      <c r="D151" s="27" t="n">
        <v>4.2</v>
      </c>
    </row>
    <row r="152" customFormat="false" ht="15" hidden="false" customHeight="false" outlineLevel="0" collapsed="false">
      <c r="A152" s="23" t="n">
        <v>2011</v>
      </c>
      <c r="B152" s="23" t="s">
        <v>87</v>
      </c>
      <c r="C152" s="27" t="n">
        <v>51.2</v>
      </c>
      <c r="D152" s="27" t="n">
        <v>4.6</v>
      </c>
    </row>
    <row r="153" customFormat="false" ht="15" hidden="false" customHeight="false" outlineLevel="0" collapsed="false">
      <c r="A153" s="23" t="n">
        <v>2011</v>
      </c>
      <c r="B153" s="23" t="s">
        <v>88</v>
      </c>
      <c r="C153" s="27" t="n">
        <v>51.4</v>
      </c>
      <c r="D153" s="27" t="n">
        <v>5</v>
      </c>
    </row>
    <row r="154" customFormat="false" ht="15" hidden="false" customHeight="false" outlineLevel="0" collapsed="false">
      <c r="A154" s="23" t="n">
        <v>2011</v>
      </c>
      <c r="B154" s="23" t="s">
        <v>89</v>
      </c>
      <c r="C154" s="27" t="n">
        <v>51.9</v>
      </c>
      <c r="D154" s="27" t="n">
        <v>5.3</v>
      </c>
    </row>
    <row r="155" customFormat="false" ht="15" hidden="false" customHeight="false" outlineLevel="0" collapsed="false">
      <c r="A155" s="23" t="n">
        <v>2011</v>
      </c>
      <c r="B155" s="23" t="s">
        <v>90</v>
      </c>
      <c r="C155" s="27" t="n">
        <v>51.9</v>
      </c>
      <c r="D155" s="27" t="n">
        <v>5.3</v>
      </c>
    </row>
    <row r="156" customFormat="false" ht="15" hidden="false" customHeight="false" outlineLevel="0" collapsed="false">
      <c r="A156" s="23" t="n">
        <v>2011</v>
      </c>
      <c r="B156" s="23" t="s">
        <v>91</v>
      </c>
      <c r="C156" s="27" t="n">
        <v>52.2</v>
      </c>
      <c r="D156" s="27" t="n">
        <v>5.7</v>
      </c>
    </row>
    <row r="157" customFormat="false" ht="15" hidden="false" customHeight="false" outlineLevel="0" collapsed="false">
      <c r="A157" s="23" t="n">
        <v>2011</v>
      </c>
      <c r="B157" s="23" t="s">
        <v>92</v>
      </c>
      <c r="C157" s="27" t="n">
        <v>52.4</v>
      </c>
      <c r="D157" s="27" t="n">
        <v>6</v>
      </c>
    </row>
    <row r="158" customFormat="false" ht="15" hidden="false" customHeight="false" outlineLevel="0" collapsed="false">
      <c r="A158" s="23" t="n">
        <v>2011</v>
      </c>
      <c r="B158" s="23" t="s">
        <v>93</v>
      </c>
      <c r="C158" s="27" t="n">
        <v>52.5</v>
      </c>
      <c r="D158" s="27" t="n">
        <v>6.1</v>
      </c>
    </row>
    <row r="159" customFormat="false" ht="15" hidden="false" customHeight="false" outlineLevel="0" collapsed="false">
      <c r="A159" s="23" t="n">
        <v>2011</v>
      </c>
      <c r="B159" s="23" t="s">
        <v>94</v>
      </c>
      <c r="C159" s="27" t="n">
        <v>52.6</v>
      </c>
      <c r="D159" s="27" t="n">
        <v>6.1</v>
      </c>
    </row>
    <row r="160" customFormat="false" ht="15" hidden="false" customHeight="false" outlineLevel="0" collapsed="false">
      <c r="A160" s="23" t="n">
        <v>2012</v>
      </c>
      <c r="B160" s="23" t="s">
        <v>83</v>
      </c>
      <c r="C160" s="27" t="n">
        <v>53</v>
      </c>
      <c r="D160" s="27" t="n">
        <v>6.3</v>
      </c>
    </row>
    <row r="161" customFormat="false" ht="15" hidden="false" customHeight="false" outlineLevel="0" collapsed="false">
      <c r="A161" s="23" t="n">
        <v>2012</v>
      </c>
      <c r="B161" s="23" t="s">
        <v>84</v>
      </c>
      <c r="C161" s="27" t="n">
        <v>53.2</v>
      </c>
      <c r="D161" s="27" t="n">
        <v>6.1</v>
      </c>
    </row>
    <row r="162" customFormat="false" ht="15" hidden="false" customHeight="false" outlineLevel="0" collapsed="false">
      <c r="A162" s="23" t="n">
        <v>2012</v>
      </c>
      <c r="B162" s="23" t="s">
        <v>85</v>
      </c>
      <c r="C162" s="27" t="n">
        <v>53.8</v>
      </c>
      <c r="D162" s="27" t="n">
        <v>6</v>
      </c>
    </row>
    <row r="163" customFormat="false" ht="15" hidden="false" customHeight="false" outlineLevel="0" collapsed="false">
      <c r="A163" s="23" t="n">
        <v>2012</v>
      </c>
      <c r="B163" s="23" t="s">
        <v>86</v>
      </c>
      <c r="C163" s="27" t="n">
        <v>54.1</v>
      </c>
      <c r="D163" s="27" t="n">
        <v>6.1</v>
      </c>
    </row>
    <row r="164" customFormat="false" ht="15" hidden="false" customHeight="false" outlineLevel="0" collapsed="false">
      <c r="A164" s="23" t="n">
        <v>2012</v>
      </c>
      <c r="B164" s="23" t="s">
        <v>87</v>
      </c>
      <c r="C164" s="27" t="n">
        <v>54.1</v>
      </c>
      <c r="D164" s="27" t="n">
        <v>5.7</v>
      </c>
    </row>
    <row r="165" customFormat="false" ht="15" hidden="false" customHeight="false" outlineLevel="0" collapsed="false">
      <c r="A165" s="23" t="n">
        <v>2012</v>
      </c>
      <c r="B165" s="23" t="s">
        <v>88</v>
      </c>
      <c r="C165" s="27" t="n">
        <v>54.3</v>
      </c>
      <c r="D165" s="27" t="n">
        <v>5.5</v>
      </c>
    </row>
    <row r="166" customFormat="false" ht="15" hidden="false" customHeight="false" outlineLevel="0" collapsed="false">
      <c r="A166" s="23" t="n">
        <v>2012</v>
      </c>
      <c r="B166" s="23" t="s">
        <v>89</v>
      </c>
      <c r="C166" s="27" t="n">
        <v>54.3</v>
      </c>
      <c r="D166" s="27" t="n">
        <v>4.9</v>
      </c>
    </row>
    <row r="167" customFormat="false" ht="15" hidden="false" customHeight="false" outlineLevel="0" collapsed="false">
      <c r="A167" s="23" t="n">
        <v>2012</v>
      </c>
      <c r="B167" s="23" t="s">
        <v>90</v>
      </c>
      <c r="C167" s="27" t="n">
        <v>54.5</v>
      </c>
      <c r="D167" s="27" t="n">
        <v>5</v>
      </c>
    </row>
    <row r="168" customFormat="false" ht="15" hidden="false" customHeight="false" outlineLevel="0" collapsed="false">
      <c r="A168" s="23" t="n">
        <v>2012</v>
      </c>
      <c r="B168" s="23" t="s">
        <v>91</v>
      </c>
      <c r="C168" s="27" t="n">
        <v>55</v>
      </c>
      <c r="D168" s="27" t="n">
        <v>5.5</v>
      </c>
    </row>
    <row r="169" customFormat="false" ht="15" hidden="false" customHeight="false" outlineLevel="0" collapsed="false">
      <c r="A169" s="23" t="n">
        <v>2012</v>
      </c>
      <c r="B169" s="23" t="s">
        <v>92</v>
      </c>
      <c r="C169" s="27" t="n">
        <v>55.3</v>
      </c>
      <c r="D169" s="27" t="n">
        <v>5.6</v>
      </c>
    </row>
    <row r="170" customFormat="false" ht="15" hidden="false" customHeight="false" outlineLevel="0" collapsed="false">
      <c r="A170" s="23" t="n">
        <v>2012</v>
      </c>
      <c r="B170" s="23" t="s">
        <v>93</v>
      </c>
      <c r="C170" s="27" t="n">
        <v>55.5</v>
      </c>
      <c r="D170" s="27" t="n">
        <v>5.6</v>
      </c>
    </row>
    <row r="171" customFormat="false" ht="15" hidden="false" customHeight="false" outlineLevel="0" collapsed="false">
      <c r="A171" s="23" t="n">
        <v>2012</v>
      </c>
      <c r="B171" s="23" t="s">
        <v>94</v>
      </c>
      <c r="C171" s="27" t="n">
        <v>55.6</v>
      </c>
      <c r="D171" s="27" t="n">
        <v>5.7</v>
      </c>
    </row>
    <row r="172" customFormat="false" ht="15" hidden="false" customHeight="false" outlineLevel="0" collapsed="false">
      <c r="A172" s="23" t="n">
        <v>2013</v>
      </c>
      <c r="B172" s="23" t="s">
        <v>83</v>
      </c>
      <c r="C172" s="27" t="n">
        <v>55.8</v>
      </c>
      <c r="D172" s="27" t="n">
        <v>5.4</v>
      </c>
    </row>
    <row r="173" customFormat="false" ht="15" hidden="false" customHeight="false" outlineLevel="0" collapsed="false">
      <c r="A173" s="23" t="n">
        <v>2013</v>
      </c>
      <c r="B173" s="23" t="s">
        <v>84</v>
      </c>
      <c r="C173" s="27" t="n">
        <v>56.3</v>
      </c>
      <c r="D173" s="27" t="n">
        <v>5.9</v>
      </c>
    </row>
    <row r="174" customFormat="false" ht="15" hidden="false" customHeight="false" outlineLevel="0" collapsed="false">
      <c r="A174" s="23" t="n">
        <v>2013</v>
      </c>
      <c r="B174" s="23" t="s">
        <v>85</v>
      </c>
      <c r="C174" s="27" t="n">
        <v>57</v>
      </c>
      <c r="D174" s="27" t="n">
        <v>5.9</v>
      </c>
    </row>
    <row r="175" customFormat="false" ht="15" hidden="false" customHeight="false" outlineLevel="0" collapsed="false">
      <c r="A175" s="23" t="n">
        <v>2013</v>
      </c>
      <c r="B175" s="23" t="s">
        <v>86</v>
      </c>
      <c r="C175" s="27" t="n">
        <v>57.2</v>
      </c>
      <c r="D175" s="27" t="n">
        <v>5.9</v>
      </c>
    </row>
    <row r="176" customFormat="false" ht="15" hidden="false" customHeight="false" outlineLevel="0" collapsed="false">
      <c r="A176" s="23" t="n">
        <v>2013</v>
      </c>
      <c r="B176" s="23" t="s">
        <v>87</v>
      </c>
      <c r="C176" s="27" t="n">
        <v>57</v>
      </c>
      <c r="D176" s="27" t="n">
        <v>5.6</v>
      </c>
    </row>
    <row r="177" customFormat="false" ht="15" hidden="false" customHeight="false" outlineLevel="0" collapsed="false">
      <c r="A177" s="23" t="n">
        <v>2013</v>
      </c>
      <c r="B177" s="23" t="s">
        <v>88</v>
      </c>
      <c r="C177" s="27" t="n">
        <v>57.2</v>
      </c>
      <c r="D177" s="27" t="n">
        <v>5.5</v>
      </c>
    </row>
    <row r="178" customFormat="false" ht="15" hidden="false" customHeight="false" outlineLevel="0" collapsed="false">
      <c r="A178" s="23" t="n">
        <v>2013</v>
      </c>
      <c r="B178" s="23" t="s">
        <v>89</v>
      </c>
      <c r="C178" s="27" t="n">
        <v>57.8</v>
      </c>
      <c r="D178" s="27" t="n">
        <v>6.3</v>
      </c>
    </row>
    <row r="179" customFormat="false" ht="15" hidden="false" customHeight="false" outlineLevel="0" collapsed="false">
      <c r="A179" s="23" t="n">
        <v>2013</v>
      </c>
      <c r="B179" s="23" t="s">
        <v>90</v>
      </c>
      <c r="C179" s="27" t="n">
        <v>58</v>
      </c>
      <c r="D179" s="27" t="n">
        <v>6.4</v>
      </c>
    </row>
    <row r="180" customFormat="false" ht="15" hidden="false" customHeight="false" outlineLevel="0" collapsed="false">
      <c r="A180" s="23" t="n">
        <v>2013</v>
      </c>
      <c r="B180" s="23" t="s">
        <v>91</v>
      </c>
      <c r="C180" s="27" t="n">
        <v>58.3</v>
      </c>
      <c r="D180" s="27" t="n">
        <v>6</v>
      </c>
    </row>
    <row r="181" customFormat="false" ht="15" hidden="false" customHeight="false" outlineLevel="0" collapsed="false">
      <c r="A181" s="23" t="n">
        <v>2013</v>
      </c>
      <c r="B181" s="23" t="s">
        <v>92</v>
      </c>
      <c r="C181" s="27" t="n">
        <v>58.4</v>
      </c>
      <c r="D181" s="27" t="n">
        <v>5.5</v>
      </c>
    </row>
    <row r="182" customFormat="false" ht="15" hidden="false" customHeight="false" outlineLevel="0" collapsed="false">
      <c r="A182" s="23" t="n">
        <v>2013</v>
      </c>
      <c r="B182" s="23" t="s">
        <v>93</v>
      </c>
      <c r="C182" s="27" t="n">
        <v>58.5</v>
      </c>
      <c r="D182" s="27" t="n">
        <v>5.3</v>
      </c>
    </row>
    <row r="183" customFormat="false" ht="15" hidden="false" customHeight="false" outlineLevel="0" collapsed="false">
      <c r="A183" s="23" t="n">
        <v>2013</v>
      </c>
      <c r="B183" s="23" t="s">
        <v>94</v>
      </c>
      <c r="C183" s="27" t="n">
        <v>58.7</v>
      </c>
      <c r="D183" s="27" t="n">
        <v>5.4</v>
      </c>
    </row>
    <row r="184" customFormat="false" ht="15" hidden="false" customHeight="false" outlineLevel="0" collapsed="false">
      <c r="A184" s="23" t="n">
        <v>2014</v>
      </c>
      <c r="B184" s="23" t="s">
        <v>83</v>
      </c>
      <c r="C184" s="27" t="n">
        <v>59</v>
      </c>
      <c r="D184" s="27" t="n">
        <v>5.8</v>
      </c>
    </row>
    <row r="185" customFormat="false" ht="15" hidden="false" customHeight="false" outlineLevel="0" collapsed="false">
      <c r="A185" s="23" t="n">
        <v>2014</v>
      </c>
      <c r="B185" s="23" t="s">
        <v>84</v>
      </c>
      <c r="C185" s="27" t="n">
        <v>59.7</v>
      </c>
      <c r="D185" s="27" t="n">
        <v>5.9</v>
      </c>
    </row>
    <row r="186" customFormat="false" ht="15" hidden="false" customHeight="false" outlineLevel="0" collapsed="false">
      <c r="A186" s="23" t="n">
        <v>2014</v>
      </c>
      <c r="B186" s="23" t="s">
        <v>85</v>
      </c>
      <c r="C186" s="27" t="n">
        <v>60.5</v>
      </c>
      <c r="D186" s="27" t="n">
        <v>6</v>
      </c>
    </row>
    <row r="187" customFormat="false" ht="15" hidden="false" customHeight="false" outlineLevel="0" collapsed="false">
      <c r="A187" s="23" t="n">
        <v>2014</v>
      </c>
      <c r="B187" s="23" t="s">
        <v>86</v>
      </c>
      <c r="C187" s="27" t="n">
        <v>60.7</v>
      </c>
      <c r="D187" s="27" t="n">
        <v>6.1</v>
      </c>
    </row>
    <row r="188" customFormat="false" ht="15" hidden="false" customHeight="false" outlineLevel="0" collapsed="false">
      <c r="A188" s="23" t="n">
        <v>2014</v>
      </c>
      <c r="B188" s="23" t="s">
        <v>87</v>
      </c>
      <c r="C188" s="27" t="n">
        <v>60.8</v>
      </c>
      <c r="D188" s="27" t="n">
        <v>6.6</v>
      </c>
    </row>
    <row r="189" customFormat="false" ht="15" hidden="false" customHeight="false" outlineLevel="0" collapsed="false">
      <c r="A189" s="23" t="n">
        <v>2014</v>
      </c>
      <c r="B189" s="23" t="s">
        <v>88</v>
      </c>
      <c r="C189" s="27" t="n">
        <v>61</v>
      </c>
      <c r="D189" s="27" t="n">
        <v>6.6</v>
      </c>
    </row>
    <row r="190" customFormat="false" ht="15" hidden="false" customHeight="false" outlineLevel="0" collapsed="false">
      <c r="A190" s="23" t="n">
        <v>2014</v>
      </c>
      <c r="B190" s="23" t="s">
        <v>89</v>
      </c>
      <c r="C190" s="27" t="n">
        <v>61.5</v>
      </c>
      <c r="D190" s="27" t="n">
        <v>6.3</v>
      </c>
    </row>
    <row r="191" customFormat="false" ht="15" hidden="false" customHeight="false" outlineLevel="0" collapsed="false">
      <c r="A191" s="23" t="n">
        <v>2014</v>
      </c>
      <c r="B191" s="23" t="s">
        <v>90</v>
      </c>
      <c r="C191" s="27" t="n">
        <v>61.8</v>
      </c>
      <c r="D191" s="27" t="n">
        <v>6.4</v>
      </c>
    </row>
    <row r="192" customFormat="false" ht="15" hidden="false" customHeight="false" outlineLevel="0" collapsed="false">
      <c r="A192" s="23" t="n">
        <v>2014</v>
      </c>
      <c r="B192" s="23" t="s">
        <v>91</v>
      </c>
      <c r="C192" s="27" t="n">
        <v>61.8</v>
      </c>
      <c r="D192" s="27" t="n">
        <v>5.9</v>
      </c>
    </row>
    <row r="193" customFormat="false" ht="15" hidden="false" customHeight="false" outlineLevel="0" collapsed="false">
      <c r="A193" s="23" t="n">
        <v>2014</v>
      </c>
      <c r="B193" s="23" t="s">
        <v>92</v>
      </c>
      <c r="C193" s="27" t="n">
        <v>61.8</v>
      </c>
      <c r="D193" s="27" t="n">
        <v>5.9</v>
      </c>
    </row>
    <row r="194" customFormat="false" ht="15" hidden="false" customHeight="false" outlineLevel="0" collapsed="false">
      <c r="A194" s="23" t="n">
        <v>2014</v>
      </c>
      <c r="B194" s="23" t="s">
        <v>93</v>
      </c>
      <c r="C194" s="27" t="n">
        <v>61.8</v>
      </c>
      <c r="D194" s="27" t="n">
        <v>5.8</v>
      </c>
    </row>
    <row r="195" customFormat="false" ht="15" hidden="false" customHeight="false" outlineLevel="0" collapsed="false">
      <c r="A195" s="23" t="n">
        <v>2014</v>
      </c>
      <c r="B195" s="23" t="s">
        <v>94</v>
      </c>
      <c r="C195" s="27" t="n">
        <v>61.8</v>
      </c>
      <c r="D195" s="27" t="n">
        <v>5.3</v>
      </c>
    </row>
    <row r="196" customFormat="false" ht="15" hidden="false" customHeight="false" outlineLevel="0" collapsed="false">
      <c r="A196" s="23" t="n">
        <v>2015</v>
      </c>
      <c r="B196" s="23" t="s">
        <v>83</v>
      </c>
      <c r="C196" s="27" t="n">
        <v>61.6</v>
      </c>
      <c r="D196" s="27" t="n">
        <v>4.4</v>
      </c>
    </row>
    <row r="197" customFormat="false" ht="15" hidden="false" customHeight="false" outlineLevel="0" collapsed="false">
      <c r="A197" s="23" t="n">
        <v>2015</v>
      </c>
      <c r="B197" s="23" t="s">
        <v>84</v>
      </c>
      <c r="C197" s="27" t="n">
        <v>62</v>
      </c>
      <c r="D197" s="27" t="n">
        <v>3.9</v>
      </c>
    </row>
    <row r="198" customFormat="false" ht="15" hidden="false" customHeight="false" outlineLevel="0" collapsed="false">
      <c r="A198" s="23" t="n">
        <v>2015</v>
      </c>
      <c r="B198" s="23" t="s">
        <v>85</v>
      </c>
      <c r="C198" s="27" t="n">
        <v>62.9</v>
      </c>
      <c r="D198" s="27" t="n">
        <v>4</v>
      </c>
    </row>
    <row r="199" customFormat="false" ht="15" hidden="false" customHeight="false" outlineLevel="0" collapsed="false">
      <c r="A199" s="23" t="n">
        <v>2015</v>
      </c>
      <c r="B199" s="23" t="s">
        <v>86</v>
      </c>
      <c r="C199" s="27" t="n">
        <v>63.5</v>
      </c>
      <c r="D199" s="27" t="n">
        <v>4.5</v>
      </c>
    </row>
    <row r="200" customFormat="false" ht="15" hidden="false" customHeight="false" outlineLevel="0" collapsed="false">
      <c r="A200" s="23" t="n">
        <v>2015</v>
      </c>
      <c r="B200" s="23" t="s">
        <v>87</v>
      </c>
      <c r="C200" s="27" t="n">
        <v>63.7</v>
      </c>
      <c r="D200" s="27" t="n">
        <v>4.6</v>
      </c>
    </row>
    <row r="201" customFormat="false" ht="15" hidden="false" customHeight="false" outlineLevel="0" collapsed="false">
      <c r="A201" s="23" t="n">
        <v>2015</v>
      </c>
      <c r="B201" s="23" t="s">
        <v>88</v>
      </c>
      <c r="C201" s="27" t="n">
        <v>63.9</v>
      </c>
      <c r="D201" s="27" t="n">
        <v>4.7</v>
      </c>
    </row>
    <row r="202" customFormat="false" ht="15" hidden="false" customHeight="false" outlineLevel="0" collapsed="false">
      <c r="A202" s="23" t="n">
        <v>2015</v>
      </c>
      <c r="B202" s="23" t="s">
        <v>89</v>
      </c>
      <c r="C202" s="27" t="n">
        <v>64.6</v>
      </c>
      <c r="D202" s="27" t="n">
        <v>5</v>
      </c>
    </row>
    <row r="203" customFormat="false" ht="15" hidden="false" customHeight="false" outlineLevel="0" collapsed="false">
      <c r="A203" s="23" t="n">
        <v>2015</v>
      </c>
      <c r="B203" s="23" t="s">
        <v>90</v>
      </c>
      <c r="C203" s="27" t="n">
        <v>64.6</v>
      </c>
      <c r="D203" s="27" t="n">
        <v>4.6</v>
      </c>
    </row>
    <row r="204" customFormat="false" ht="15" hidden="false" customHeight="false" outlineLevel="0" collapsed="false">
      <c r="A204" s="23" t="n">
        <v>2015</v>
      </c>
      <c r="B204" s="23" t="s">
        <v>91</v>
      </c>
      <c r="C204" s="27" t="n">
        <v>64.6</v>
      </c>
      <c r="D204" s="27" t="n">
        <v>4.6</v>
      </c>
    </row>
    <row r="205" customFormat="false" ht="15" hidden="false" customHeight="false" outlineLevel="0" collapsed="false">
      <c r="A205" s="23" t="n">
        <v>2015</v>
      </c>
      <c r="B205" s="23" t="s">
        <v>92</v>
      </c>
      <c r="C205" s="27" t="n">
        <v>64.8</v>
      </c>
      <c r="D205" s="27" t="n">
        <v>4.7</v>
      </c>
    </row>
    <row r="206" customFormat="false" ht="15" hidden="false" customHeight="false" outlineLevel="0" collapsed="false">
      <c r="A206" s="23" t="n">
        <v>2015</v>
      </c>
      <c r="B206" s="23" t="s">
        <v>93</v>
      </c>
      <c r="C206" s="27" t="n">
        <v>64.8</v>
      </c>
      <c r="D206" s="27" t="n">
        <v>4.8</v>
      </c>
    </row>
    <row r="207" customFormat="false" ht="15" hidden="false" customHeight="false" outlineLevel="0" collapsed="false">
      <c r="A207" s="23" t="n">
        <v>2015</v>
      </c>
      <c r="B207" s="23" t="s">
        <v>94</v>
      </c>
      <c r="C207" s="27" t="n">
        <v>64.9</v>
      </c>
      <c r="D207" s="27" t="n">
        <v>5.2</v>
      </c>
    </row>
    <row r="208" customFormat="false" ht="15" hidden="false" customHeight="false" outlineLevel="0" collapsed="false">
      <c r="A208" s="23" t="n">
        <v>2016</v>
      </c>
      <c r="B208" s="23" t="s">
        <v>83</v>
      </c>
      <c r="C208" s="27" t="n">
        <v>65.5</v>
      </c>
      <c r="D208" s="27" t="n">
        <v>6.2</v>
      </c>
    </row>
    <row r="209" customFormat="false" ht="15" hidden="false" customHeight="false" outlineLevel="0" collapsed="false">
      <c r="A209" s="23" t="n">
        <v>2016</v>
      </c>
      <c r="B209" s="23" t="s">
        <v>84</v>
      </c>
      <c r="C209" s="27" t="n">
        <v>66.3</v>
      </c>
      <c r="D209" s="27" t="n">
        <v>7</v>
      </c>
    </row>
    <row r="210" customFormat="false" ht="15" hidden="false" customHeight="false" outlineLevel="0" collapsed="false">
      <c r="A210" s="23" t="n">
        <v>2016</v>
      </c>
      <c r="B210" s="23" t="s">
        <v>85</v>
      </c>
      <c r="C210" s="27" t="n">
        <v>66.8</v>
      </c>
      <c r="D210" s="27" t="n">
        <v>6.3</v>
      </c>
    </row>
    <row r="211" customFormat="false" ht="15" hidden="false" customHeight="false" outlineLevel="0" collapsed="false">
      <c r="A211" s="23" t="n">
        <v>2016</v>
      </c>
      <c r="B211" s="23" t="s">
        <v>86</v>
      </c>
      <c r="C211" s="27" t="n">
        <v>67.4</v>
      </c>
      <c r="D211" s="27" t="n">
        <v>6.2</v>
      </c>
    </row>
    <row r="212" customFormat="false" ht="15" hidden="false" customHeight="false" outlineLevel="0" collapsed="false">
      <c r="A212" s="23" t="n">
        <v>2016</v>
      </c>
      <c r="B212" s="23" t="s">
        <v>87</v>
      </c>
      <c r="C212" s="27" t="n">
        <v>67.5</v>
      </c>
      <c r="D212" s="27" t="n">
        <v>6.1</v>
      </c>
    </row>
    <row r="213" customFormat="false" ht="15" hidden="false" customHeight="false" outlineLevel="0" collapsed="false">
      <c r="A213" s="23" t="n">
        <v>2016</v>
      </c>
      <c r="B213" s="23" t="s">
        <v>88</v>
      </c>
      <c r="C213" s="27" t="n">
        <v>67.9</v>
      </c>
      <c r="D213" s="27" t="n">
        <v>6.3</v>
      </c>
    </row>
    <row r="214" customFormat="false" ht="15" hidden="false" customHeight="false" outlineLevel="0" collapsed="false">
      <c r="A214" s="23" t="n">
        <v>2016</v>
      </c>
      <c r="B214" s="23" t="s">
        <v>89</v>
      </c>
      <c r="C214" s="27" t="n">
        <v>68.5</v>
      </c>
      <c r="D214" s="27" t="n">
        <v>6</v>
      </c>
    </row>
    <row r="215" customFormat="false" ht="15" hidden="false" customHeight="false" outlineLevel="0" collapsed="false">
      <c r="A215" s="23" t="n">
        <v>2016</v>
      </c>
      <c r="B215" s="23" t="s">
        <v>90</v>
      </c>
      <c r="C215" s="27" t="n">
        <v>68.4</v>
      </c>
      <c r="D215" s="27" t="n">
        <v>5.9</v>
      </c>
    </row>
    <row r="216" customFormat="false" ht="15" hidden="false" customHeight="false" outlineLevel="0" collapsed="false">
      <c r="A216" s="23" t="n">
        <v>2016</v>
      </c>
      <c r="B216" s="23" t="s">
        <v>91</v>
      </c>
      <c r="C216" s="27" t="n">
        <v>68.5</v>
      </c>
      <c r="D216" s="27" t="n">
        <v>6.1</v>
      </c>
    </row>
    <row r="217" customFormat="false" ht="15" hidden="false" customHeight="false" outlineLevel="0" collapsed="false">
      <c r="A217" s="23" t="n">
        <v>2016</v>
      </c>
      <c r="B217" s="23" t="s">
        <v>92</v>
      </c>
      <c r="C217" s="27" t="n">
        <v>68.8</v>
      </c>
      <c r="D217" s="27" t="n">
        <v>6.4</v>
      </c>
    </row>
    <row r="218" customFormat="false" ht="15" hidden="false" customHeight="false" outlineLevel="0" collapsed="false">
      <c r="A218" s="23" t="n">
        <v>2016</v>
      </c>
      <c r="B218" s="23" t="s">
        <v>93</v>
      </c>
      <c r="C218" s="27" t="n">
        <v>69.1</v>
      </c>
      <c r="D218" s="27" t="n">
        <v>6.6</v>
      </c>
    </row>
    <row r="219" customFormat="false" ht="15" hidden="false" customHeight="false" outlineLevel="0" collapsed="false">
      <c r="A219" s="23" t="n">
        <v>2016</v>
      </c>
      <c r="B219" s="23" t="s">
        <v>94</v>
      </c>
      <c r="C219" s="27" t="n">
        <v>69.3</v>
      </c>
      <c r="D219" s="27" t="n">
        <v>6.8</v>
      </c>
    </row>
    <row r="220" customFormat="false" ht="15" hidden="false" customHeight="false" outlineLevel="0" collapsed="false">
      <c r="A220" s="23" t="n">
        <v>2017</v>
      </c>
      <c r="B220" s="23" t="s">
        <v>83</v>
      </c>
      <c r="C220" s="27" t="n">
        <v>69.8</v>
      </c>
      <c r="D220" s="27" t="n">
        <v>6.6</v>
      </c>
    </row>
    <row r="221" customFormat="false" ht="15" hidden="false" customHeight="false" outlineLevel="0" collapsed="false">
      <c r="A221" s="23" t="n">
        <v>2017</v>
      </c>
      <c r="B221" s="23" t="s">
        <v>84</v>
      </c>
      <c r="C221" s="27" t="n">
        <v>70.5</v>
      </c>
      <c r="D221" s="27" t="n">
        <v>6.3</v>
      </c>
    </row>
    <row r="222" customFormat="false" ht="15" hidden="false" customHeight="false" outlineLevel="0" collapsed="false">
      <c r="A222" s="23" t="n">
        <v>2017</v>
      </c>
      <c r="B222" s="23" t="s">
        <v>85</v>
      </c>
      <c r="C222" s="27" t="n">
        <v>71</v>
      </c>
      <c r="D222" s="27" t="n">
        <v>6.1</v>
      </c>
    </row>
    <row r="223" customFormat="false" ht="15" hidden="false" customHeight="false" outlineLevel="0" collapsed="false">
      <c r="A223" s="23" t="n">
        <v>2017</v>
      </c>
      <c r="B223" s="23" t="s">
        <v>86</v>
      </c>
      <c r="C223" s="27" t="n">
        <v>71</v>
      </c>
      <c r="D223" s="27" t="n">
        <v>5.3</v>
      </c>
    </row>
    <row r="224" customFormat="false" ht="15" hidden="false" customHeight="false" outlineLevel="0" collapsed="false">
      <c r="A224" s="23" t="n">
        <v>2017</v>
      </c>
      <c r="B224" s="23" t="s">
        <v>87</v>
      </c>
      <c r="C224" s="27" t="n">
        <v>71.2</v>
      </c>
      <c r="D224" s="27" t="n">
        <v>5.4</v>
      </c>
    </row>
    <row r="225" customFormat="false" ht="15" hidden="false" customHeight="false" outlineLevel="0" collapsed="false">
      <c r="A225" s="23" t="n">
        <v>2017</v>
      </c>
      <c r="B225" s="23" t="s">
        <v>88</v>
      </c>
      <c r="C225" s="27" t="n">
        <v>71.4</v>
      </c>
      <c r="D225" s="27" t="n">
        <v>5.1</v>
      </c>
    </row>
    <row r="226" customFormat="false" ht="15" hidden="false" customHeight="false" outlineLevel="0" collapsed="false">
      <c r="A226" s="23" t="n">
        <v>2017</v>
      </c>
      <c r="B226" s="23" t="s">
        <v>89</v>
      </c>
      <c r="C226" s="27" t="n">
        <v>71.6</v>
      </c>
      <c r="D226" s="27" t="n">
        <v>4.6</v>
      </c>
    </row>
    <row r="227" customFormat="false" ht="15" hidden="false" customHeight="false" outlineLevel="0" collapsed="false">
      <c r="A227" s="23" t="n">
        <v>2017</v>
      </c>
      <c r="B227" s="23" t="s">
        <v>90</v>
      </c>
      <c r="C227" s="27" t="n">
        <v>71.7</v>
      </c>
      <c r="D227" s="27" t="n">
        <v>4.8</v>
      </c>
    </row>
    <row r="228" customFormat="false" ht="15" hidden="false" customHeight="false" outlineLevel="0" collapsed="false">
      <c r="A228" s="23" t="n">
        <v>2017</v>
      </c>
      <c r="B228" s="23" t="s">
        <v>91</v>
      </c>
      <c r="C228" s="27" t="n">
        <v>72</v>
      </c>
      <c r="D228" s="27" t="n">
        <v>5.1</v>
      </c>
    </row>
    <row r="229" customFormat="false" ht="15" hidden="false" customHeight="false" outlineLevel="0" collapsed="false">
      <c r="A229" s="23" t="n">
        <v>2017</v>
      </c>
      <c r="B229" s="23" t="s">
        <v>92</v>
      </c>
      <c r="C229" s="27" t="n">
        <v>72.2</v>
      </c>
      <c r="D229" s="27" t="n">
        <v>4.8</v>
      </c>
    </row>
    <row r="230" customFormat="false" ht="15" hidden="false" customHeight="false" outlineLevel="0" collapsed="false">
      <c r="A230" s="23" t="n">
        <v>2017</v>
      </c>
      <c r="B230" s="23" t="s">
        <v>93</v>
      </c>
      <c r="C230" s="27" t="n">
        <v>72.3</v>
      </c>
      <c r="D230" s="27" t="n">
        <v>4.6</v>
      </c>
    </row>
    <row r="231" customFormat="false" ht="15" hidden="false" customHeight="false" outlineLevel="0" collapsed="false">
      <c r="A231" s="23" t="n">
        <v>2017</v>
      </c>
      <c r="B231" s="23" t="s">
        <v>94</v>
      </c>
      <c r="C231" s="27" t="n">
        <v>72.6</v>
      </c>
      <c r="D231" s="27" t="n">
        <v>4.7</v>
      </c>
    </row>
    <row r="232" customFormat="false" ht="15" hidden="false" customHeight="false" outlineLevel="0" collapsed="false">
      <c r="A232" s="23" t="n">
        <v>2018</v>
      </c>
      <c r="B232" s="23" t="s">
        <v>83</v>
      </c>
      <c r="C232" s="27" t="n">
        <v>72.8</v>
      </c>
      <c r="D232" s="27" t="n">
        <v>4.4</v>
      </c>
    </row>
    <row r="233" customFormat="false" ht="15" hidden="false" customHeight="false" outlineLevel="0" collapsed="false">
      <c r="A233" s="23" t="n">
        <v>2018</v>
      </c>
      <c r="B233" s="23" t="s">
        <v>84</v>
      </c>
      <c r="C233" s="27" t="n">
        <v>73.4</v>
      </c>
      <c r="D233" s="27" t="n">
        <v>4</v>
      </c>
    </row>
    <row r="234" customFormat="false" ht="15" hidden="false" customHeight="false" outlineLevel="0" collapsed="false">
      <c r="A234" s="23" t="n">
        <v>2018</v>
      </c>
      <c r="B234" s="23" t="s">
        <v>85</v>
      </c>
      <c r="C234" s="27" t="n">
        <v>73.6</v>
      </c>
      <c r="D234" s="27" t="n">
        <v>3.8</v>
      </c>
    </row>
    <row r="235" customFormat="false" ht="15" hidden="false" customHeight="false" outlineLevel="0" collapsed="false">
      <c r="A235" s="23" t="n">
        <v>2018</v>
      </c>
      <c r="B235" s="23" t="s">
        <v>86</v>
      </c>
      <c r="C235" s="27" t="n">
        <v>74.2</v>
      </c>
      <c r="D235" s="27" t="n">
        <v>4.5</v>
      </c>
    </row>
    <row r="236" customFormat="false" ht="15" hidden="false" customHeight="false" outlineLevel="0" collapsed="false">
      <c r="A236" s="23" t="n">
        <v>2018</v>
      </c>
      <c r="B236" s="23" t="s">
        <v>87</v>
      </c>
      <c r="C236" s="27" t="n">
        <v>74.3</v>
      </c>
      <c r="D236" s="27" t="n">
        <v>4.4</v>
      </c>
    </row>
    <row r="237" customFormat="false" ht="15" hidden="false" customHeight="false" outlineLevel="0" collapsed="false">
      <c r="A237" s="23" t="n">
        <v>2018</v>
      </c>
      <c r="B237" s="23" t="s">
        <v>88</v>
      </c>
      <c r="C237" s="27" t="n">
        <v>74.6</v>
      </c>
      <c r="D237" s="27" t="n">
        <v>4.6</v>
      </c>
    </row>
    <row r="238" customFormat="false" ht="15" hidden="false" customHeight="false" outlineLevel="0" collapsed="false">
      <c r="A238" s="23" t="n">
        <v>2018</v>
      </c>
      <c r="B238" s="23" t="s">
        <v>89</v>
      </c>
      <c r="C238" s="27" t="n">
        <v>75.3</v>
      </c>
      <c r="D238" s="27" t="n">
        <v>5.1</v>
      </c>
    </row>
    <row r="239" customFormat="false" ht="15" hidden="false" customHeight="false" outlineLevel="0" collapsed="false">
      <c r="A239" s="23" t="n">
        <v>2018</v>
      </c>
      <c r="B239" s="23" t="s">
        <v>90</v>
      </c>
      <c r="C239" s="27" t="n">
        <v>75.2</v>
      </c>
      <c r="D239" s="27" t="n">
        <v>4.9</v>
      </c>
    </row>
    <row r="240" customFormat="false" ht="15" hidden="false" customHeight="false" outlineLevel="0" collapsed="false">
      <c r="A240" s="23" t="n">
        <v>2018</v>
      </c>
      <c r="B240" s="23" t="s">
        <v>91</v>
      </c>
      <c r="C240" s="27" t="n">
        <v>75.5</v>
      </c>
      <c r="D240" s="27" t="n">
        <v>4.9</v>
      </c>
    </row>
    <row r="241" customFormat="false" ht="15" hidden="false" customHeight="false" outlineLevel="0" collapsed="false">
      <c r="A241" s="23" t="n">
        <v>2018</v>
      </c>
      <c r="B241" s="23" t="s">
        <v>92</v>
      </c>
      <c r="C241" s="27" t="n">
        <v>75.9</v>
      </c>
      <c r="D241" s="27" t="n">
        <v>5.1</v>
      </c>
    </row>
    <row r="242" customFormat="false" ht="15" hidden="false" customHeight="false" outlineLevel="0" collapsed="false">
      <c r="A242" s="23" t="n">
        <v>2018</v>
      </c>
      <c r="B242" s="23" t="s">
        <v>93</v>
      </c>
      <c r="C242" s="27" t="n">
        <v>76</v>
      </c>
      <c r="D242" s="27" t="n">
        <v>5.2</v>
      </c>
    </row>
    <row r="243" customFormat="false" ht="15" hidden="false" customHeight="false" outlineLevel="0" collapsed="false">
      <c r="A243" s="23" t="n">
        <v>2018</v>
      </c>
      <c r="B243" s="23" t="s">
        <v>94</v>
      </c>
      <c r="C243" s="27" t="n">
        <v>75.9</v>
      </c>
      <c r="D243" s="27" t="n">
        <v>4.5</v>
      </c>
    </row>
    <row r="244" customFormat="false" ht="15" hidden="false" customHeight="false" outlineLevel="0" collapsed="false">
      <c r="A244" s="23" t="n">
        <v>2019</v>
      </c>
      <c r="B244" s="23" t="s">
        <v>83</v>
      </c>
      <c r="C244" s="27" t="n">
        <v>75.7</v>
      </c>
      <c r="D244" s="27" t="n">
        <v>4</v>
      </c>
    </row>
    <row r="245" customFormat="false" ht="15" hidden="false" customHeight="false" outlineLevel="0" collapsed="false">
      <c r="A245" s="23" t="n">
        <v>2019</v>
      </c>
      <c r="B245" s="23" t="s">
        <v>84</v>
      </c>
      <c r="C245" s="27" t="n">
        <v>76.3</v>
      </c>
      <c r="D245" s="27" t="n">
        <v>4.1</v>
      </c>
    </row>
    <row r="246" customFormat="false" ht="15" hidden="false" customHeight="false" outlineLevel="0" collapsed="false">
      <c r="A246" s="23" t="n">
        <v>2019</v>
      </c>
      <c r="B246" s="23" t="s">
        <v>85</v>
      </c>
      <c r="C246" s="27" t="n">
        <v>77</v>
      </c>
      <c r="D246" s="27" t="n">
        <v>4.5</v>
      </c>
    </row>
    <row r="247" customFormat="false" ht="15" hidden="false" customHeight="false" outlineLevel="0" collapsed="false">
      <c r="A247" s="23" t="n">
        <v>2019</v>
      </c>
      <c r="B247" s="23" t="s">
        <v>86</v>
      </c>
      <c r="C247" s="27" t="n">
        <v>77.4</v>
      </c>
      <c r="D247" s="27" t="n">
        <v>4.4</v>
      </c>
    </row>
    <row r="248" customFormat="false" ht="15" hidden="false" customHeight="false" outlineLevel="0" collapsed="false">
      <c r="A248" s="23" t="n">
        <v>2019</v>
      </c>
      <c r="B248" s="23" t="s">
        <v>87</v>
      </c>
      <c r="C248" s="27" t="n">
        <v>77.7</v>
      </c>
      <c r="D248" s="27" t="n">
        <v>4.5</v>
      </c>
    </row>
    <row r="249" customFormat="false" ht="15" hidden="false" customHeight="false" outlineLevel="0" collapsed="false">
      <c r="A249" s="23" t="n">
        <v>2019</v>
      </c>
      <c r="B249" s="23" t="s">
        <v>88</v>
      </c>
      <c r="C249" s="27" t="n">
        <v>78</v>
      </c>
      <c r="D249" s="27" t="n">
        <v>4.5</v>
      </c>
    </row>
    <row r="250" customFormat="false" ht="15" hidden="false" customHeight="false" outlineLevel="0" collapsed="false">
      <c r="A250" s="23" t="n">
        <v>2019</v>
      </c>
      <c r="B250" s="23" t="s">
        <v>89</v>
      </c>
      <c r="C250" s="27" t="n">
        <v>78.2</v>
      </c>
      <c r="D250" s="27" t="n">
        <v>4</v>
      </c>
    </row>
    <row r="251" customFormat="false" ht="15" hidden="false" customHeight="false" outlineLevel="0" collapsed="false">
      <c r="A251" s="23" t="n">
        <v>2019</v>
      </c>
      <c r="B251" s="23" t="s">
        <v>90</v>
      </c>
      <c r="C251" s="27" t="n">
        <v>78.5</v>
      </c>
      <c r="D251" s="27" t="n">
        <v>4.3</v>
      </c>
    </row>
    <row r="252" customFormat="false" ht="15" hidden="false" customHeight="false" outlineLevel="0" collapsed="false">
      <c r="A252" s="23" t="n">
        <v>2019</v>
      </c>
      <c r="B252" s="23" t="s">
        <v>91</v>
      </c>
      <c r="C252" s="27" t="n">
        <v>78.6</v>
      </c>
      <c r="D252" s="27" t="n">
        <v>4.1</v>
      </c>
    </row>
    <row r="253" customFormat="false" ht="15" hidden="false" customHeight="false" outlineLevel="0" collapsed="false">
      <c r="A253" s="23" t="n">
        <v>2019</v>
      </c>
      <c r="B253" s="23" t="s">
        <v>92</v>
      </c>
      <c r="C253" s="27" t="n">
        <v>78.6</v>
      </c>
      <c r="D253" s="27" t="n">
        <v>3.7</v>
      </c>
    </row>
    <row r="254" customFormat="false" ht="15" hidden="false" customHeight="false" outlineLevel="0" collapsed="false">
      <c r="A254" s="23" t="n">
        <v>2019</v>
      </c>
      <c r="B254" s="23" t="s">
        <v>93</v>
      </c>
      <c r="C254" s="27" t="n">
        <v>78.7</v>
      </c>
      <c r="D254" s="27" t="n">
        <v>3.6</v>
      </c>
    </row>
    <row r="255" customFormat="false" ht="15" hidden="false" customHeight="false" outlineLevel="0" collapsed="false">
      <c r="A255" s="23" t="n">
        <v>2019</v>
      </c>
      <c r="B255" s="23" t="s">
        <v>94</v>
      </c>
      <c r="C255" s="27" t="n">
        <v>78.9</v>
      </c>
      <c r="D255" s="27" t="n">
        <v>4</v>
      </c>
    </row>
    <row r="256" customFormat="false" ht="15" hidden="false" customHeight="false" outlineLevel="0" collapsed="false">
      <c r="A256" s="23" t="n">
        <v>2020</v>
      </c>
      <c r="B256" s="23" t="s">
        <v>83</v>
      </c>
      <c r="C256" s="27" t="n">
        <v>79.2</v>
      </c>
      <c r="D256" s="27" t="n">
        <v>4.5</v>
      </c>
    </row>
    <row r="257" customFormat="false" ht="15" hidden="false" customHeight="false" outlineLevel="0" collapsed="false">
      <c r="A257" s="23" t="n">
        <v>2020</v>
      </c>
      <c r="B257" s="23" t="s">
        <v>84</v>
      </c>
      <c r="C257" s="27" t="n">
        <v>79.9</v>
      </c>
      <c r="D257" s="27" t="n">
        <v>4.6</v>
      </c>
    </row>
    <row r="258" customFormat="false" ht="15" hidden="false" customHeight="false" outlineLevel="0" collapsed="false">
      <c r="A258" s="23" t="n">
        <v>2020</v>
      </c>
      <c r="B258" s="23" t="s">
        <v>85</v>
      </c>
      <c r="C258" s="27" t="n">
        <v>80.2</v>
      </c>
      <c r="D258" s="27" t="n">
        <v>4.1</v>
      </c>
    </row>
    <row r="259" customFormat="false" ht="15" hidden="false" customHeight="false" outlineLevel="0" collapsed="false">
      <c r="A259" s="23" t="n">
        <v>2020</v>
      </c>
      <c r="B259" s="23" t="s">
        <v>86</v>
      </c>
      <c r="C259" s="27" t="n">
        <v>79.8</v>
      </c>
      <c r="D259" s="27" t="n">
        <v>3</v>
      </c>
    </row>
    <row r="260" customFormat="false" ht="15" hidden="false" customHeight="false" outlineLevel="0" collapsed="false">
      <c r="A260" s="23" t="n">
        <v>2020</v>
      </c>
      <c r="B260" s="23" t="s">
        <v>87</v>
      </c>
      <c r="C260" s="27" t="n">
        <v>79.2</v>
      </c>
      <c r="D260" s="27" t="n">
        <v>2.1</v>
      </c>
    </row>
    <row r="261" customFormat="false" ht="15" hidden="false" customHeight="false" outlineLevel="0" collapsed="false">
      <c r="A261" s="23" t="n">
        <v>2020</v>
      </c>
      <c r="B261" s="23" t="s">
        <v>88</v>
      </c>
      <c r="C261" s="27" t="n">
        <v>79.7</v>
      </c>
      <c r="D261" s="27" t="n">
        <v>2.2</v>
      </c>
    </row>
    <row r="262" customFormat="false" ht="15" hidden="false" customHeight="false" outlineLevel="0" collapsed="false">
      <c r="A262" s="23" t="n">
        <v>2020</v>
      </c>
      <c r="B262" s="23" t="s">
        <v>89</v>
      </c>
      <c r="C262" s="27" t="n">
        <v>80.7</v>
      </c>
      <c r="D262" s="27" t="n">
        <v>3.2</v>
      </c>
    </row>
    <row r="263" customFormat="false" ht="15" hidden="false" customHeight="false" outlineLevel="0" collapsed="false">
      <c r="A263" s="23" t="n">
        <v>2020</v>
      </c>
      <c r="B263" s="23" t="s">
        <v>90</v>
      </c>
      <c r="C263" s="27" t="n">
        <v>80.9</v>
      </c>
      <c r="D263" s="27" t="n">
        <v>3.1</v>
      </c>
    </row>
    <row r="264" customFormat="false" ht="15" hidden="false" customHeight="false" outlineLevel="0" collapsed="false">
      <c r="A264" s="23" t="n">
        <v>2020</v>
      </c>
      <c r="B264" s="23" t="s">
        <v>91</v>
      </c>
      <c r="C264" s="27" t="n">
        <v>81</v>
      </c>
      <c r="D264" s="27" t="n">
        <v>3</v>
      </c>
    </row>
    <row r="265" customFormat="false" ht="15" hidden="false" customHeight="false" outlineLevel="0" collapsed="false">
      <c r="A265" s="23" t="n">
        <v>2020</v>
      </c>
      <c r="B265" s="23" t="s">
        <v>92</v>
      </c>
      <c r="C265" s="27" t="n">
        <v>81.2</v>
      </c>
      <c r="D265" s="27" t="n">
        <v>3.3</v>
      </c>
    </row>
    <row r="266" customFormat="false" ht="15" hidden="false" customHeight="false" outlineLevel="0" collapsed="false">
      <c r="A266" s="23" t="n">
        <v>2020</v>
      </c>
      <c r="B266" s="23" t="s">
        <v>93</v>
      </c>
      <c r="C266" s="27" t="n">
        <v>81.2</v>
      </c>
      <c r="D266" s="27" t="n">
        <v>3.2</v>
      </c>
    </row>
    <row r="267" customFormat="false" ht="15" hidden="false" customHeight="false" outlineLevel="0" collapsed="false">
      <c r="A267" s="23" t="n">
        <v>2020</v>
      </c>
      <c r="B267" s="23" t="s">
        <v>94</v>
      </c>
      <c r="C267" s="27" t="n">
        <v>81.3</v>
      </c>
      <c r="D267" s="27" t="n">
        <v>3.1</v>
      </c>
    </row>
    <row r="268" customFormat="false" ht="15" hidden="false" customHeight="false" outlineLevel="0" collapsed="false">
      <c r="A268" s="23" t="n">
        <v>2021</v>
      </c>
      <c r="B268" s="23" t="s">
        <v>83</v>
      </c>
      <c r="C268" s="27" t="n">
        <v>81.7</v>
      </c>
      <c r="D268" s="27" t="n">
        <v>3.2</v>
      </c>
    </row>
    <row r="269" customFormat="false" ht="15" hidden="false" customHeight="false" outlineLevel="0" collapsed="false">
      <c r="A269" s="23" t="n">
        <v>2021</v>
      </c>
      <c r="B269" s="23" t="s">
        <v>84</v>
      </c>
      <c r="C269" s="27" t="n">
        <v>82.2</v>
      </c>
      <c r="D269" s="27" t="n">
        <v>2.9</v>
      </c>
    </row>
    <row r="270" customFormat="false" ht="15" hidden="false" customHeight="false" outlineLevel="0" collapsed="false">
      <c r="A270" s="23" t="n">
        <v>2021</v>
      </c>
      <c r="B270" s="23" t="s">
        <v>85</v>
      </c>
      <c r="C270" s="27" t="n">
        <v>82.8</v>
      </c>
      <c r="D270" s="27" t="n">
        <v>3.2</v>
      </c>
    </row>
    <row r="271" customFormat="false" ht="15" hidden="false" customHeight="false" outlineLevel="0" collapsed="false">
      <c r="A271" s="23" t="n">
        <v>2021</v>
      </c>
      <c r="B271" s="23" t="s">
        <v>86</v>
      </c>
      <c r="C271" s="27" t="n">
        <v>83.3</v>
      </c>
      <c r="D271" s="27" t="n">
        <v>4.4</v>
      </c>
    </row>
    <row r="272" customFormat="false" ht="15" hidden="false" customHeight="false" outlineLevel="0" collapsed="false">
      <c r="A272" s="23" t="n">
        <v>2021</v>
      </c>
      <c r="B272" s="23" t="s">
        <v>87</v>
      </c>
      <c r="C272" s="27" t="n">
        <v>83.4</v>
      </c>
      <c r="D272" s="27" t="n">
        <v>5.2</v>
      </c>
    </row>
    <row r="273" customFormat="false" ht="15" hidden="false" customHeight="false" outlineLevel="0" collapsed="false">
      <c r="A273" s="23" t="n">
        <v>2021</v>
      </c>
      <c r="B273" s="23" t="s">
        <v>88</v>
      </c>
      <c r="C273" s="27" t="n">
        <v>83.5</v>
      </c>
      <c r="D273" s="27" t="n">
        <v>4.9</v>
      </c>
    </row>
    <row r="274" customFormat="false" ht="15" hidden="false" customHeight="false" outlineLevel="0" collapsed="false">
      <c r="A274" s="23" t="n">
        <v>2021</v>
      </c>
      <c r="B274" s="23" t="s">
        <v>89</v>
      </c>
      <c r="C274" s="27" t="n">
        <v>84.5</v>
      </c>
      <c r="D274" s="27" t="n">
        <v>4.6</v>
      </c>
    </row>
    <row r="275" customFormat="false" ht="15" hidden="false" customHeight="false" outlineLevel="0" collapsed="false">
      <c r="A275" s="23" t="n">
        <v>2021</v>
      </c>
      <c r="B275" s="23" t="s">
        <v>90</v>
      </c>
      <c r="C275" s="27" t="n">
        <v>84.8</v>
      </c>
      <c r="D275" s="27" t="n">
        <v>4.9</v>
      </c>
    </row>
    <row r="276" customFormat="false" ht="15" hidden="false" customHeight="false" outlineLevel="0" collapsed="false">
      <c r="A276" s="23" t="n">
        <v>2021</v>
      </c>
      <c r="B276" s="23" t="s">
        <v>91</v>
      </c>
      <c r="C276" s="27" t="n">
        <v>85</v>
      </c>
      <c r="D276" s="27" t="n">
        <v>5</v>
      </c>
    </row>
    <row r="277" customFormat="false" ht="15" hidden="false" customHeight="false" outlineLevel="0" collapsed="false">
      <c r="A277" s="23" t="n">
        <v>2021</v>
      </c>
      <c r="B277" s="23" t="s">
        <v>92</v>
      </c>
      <c r="C277" s="27" t="n">
        <v>85.3</v>
      </c>
      <c r="D277" s="27" t="n">
        <v>5</v>
      </c>
    </row>
    <row r="278" customFormat="false" ht="15" hidden="false" customHeight="false" outlineLevel="0" collapsed="false">
      <c r="A278" s="23" t="n">
        <v>2021</v>
      </c>
      <c r="B278" s="23" t="s">
        <v>93</v>
      </c>
      <c r="C278" s="27" t="n">
        <v>85.6</v>
      </c>
      <c r="D278" s="27" t="n">
        <v>5.5</v>
      </c>
    </row>
    <row r="279" customFormat="false" ht="15" hidden="false" customHeight="false" outlineLevel="0" collapsed="false">
      <c r="A279" s="23" t="n">
        <v>2021</v>
      </c>
      <c r="B279" s="23" t="s">
        <v>94</v>
      </c>
      <c r="C279" s="27" t="n">
        <v>86.1</v>
      </c>
      <c r="D279" s="27" t="n">
        <v>5.9</v>
      </c>
    </row>
    <row r="280" customFormat="false" ht="15" hidden="false" customHeight="false" outlineLevel="0" collapsed="false">
      <c r="A280" s="23" t="n">
        <v>2022</v>
      </c>
      <c r="B280" s="23" t="s">
        <v>83</v>
      </c>
      <c r="C280" s="27" t="n">
        <v>86.3</v>
      </c>
      <c r="D280" s="27" t="n">
        <v>5.7</v>
      </c>
    </row>
    <row r="281" customFormat="false" ht="15" hidden="false" customHeight="false" outlineLevel="0" collapsed="false">
      <c r="A281" s="23" t="n">
        <v>2022</v>
      </c>
      <c r="B281" s="23" t="s">
        <v>84</v>
      </c>
      <c r="C281" s="27" t="n">
        <v>86.8</v>
      </c>
      <c r="D281" s="27" t="n">
        <v>5.7</v>
      </c>
    </row>
    <row r="282" customFormat="false" ht="15" hidden="false" customHeight="false" outlineLevel="0" collapsed="false">
      <c r="A282" s="23" t="n">
        <v>2022</v>
      </c>
      <c r="B282" s="23" t="s">
        <v>85</v>
      </c>
      <c r="C282" s="27" t="n">
        <v>87.7</v>
      </c>
      <c r="D282" s="27" t="n">
        <v>5.9</v>
      </c>
    </row>
    <row r="283" customFormat="false" ht="15" hidden="false" customHeight="false" outlineLevel="0" collapsed="false">
      <c r="A283" s="23" t="n">
        <v>2022</v>
      </c>
      <c r="B283" s="23" t="s">
        <v>86</v>
      </c>
      <c r="C283" s="27" t="n">
        <v>88.2</v>
      </c>
      <c r="D283" s="27" t="n">
        <v>5.9</v>
      </c>
    </row>
    <row r="284" customFormat="false" ht="15" hidden="false" customHeight="false" outlineLevel="0" collapsed="false">
      <c r="A284" s="23" t="n">
        <v>2022</v>
      </c>
      <c r="B284" s="23" t="s">
        <v>87</v>
      </c>
      <c r="C284" s="27" t="n">
        <v>88.8</v>
      </c>
      <c r="D284" s="27" t="n">
        <v>6.5</v>
      </c>
    </row>
    <row r="285" customFormat="false" ht="15" hidden="false" customHeight="false" outlineLevel="0" collapsed="false">
      <c r="A285" s="23" t="n">
        <v>2022</v>
      </c>
      <c r="B285" s="23" t="s">
        <v>88</v>
      </c>
      <c r="C285" s="27" t="n">
        <v>89.8</v>
      </c>
      <c r="D285" s="27" t="n">
        <v>7.4</v>
      </c>
    </row>
    <row r="286" customFormat="false" ht="15" hidden="false" customHeight="false" outlineLevel="0" collapsed="false">
      <c r="A286" s="23" t="n">
        <v>2022</v>
      </c>
      <c r="B286" s="23" t="s">
        <v>89</v>
      </c>
      <c r="C286" s="27" t="n">
        <v>91.1</v>
      </c>
      <c r="D286" s="27" t="n">
        <v>7.8</v>
      </c>
    </row>
    <row r="287" customFormat="false" ht="15" hidden="false" customHeight="false" outlineLevel="0" collapsed="false">
      <c r="A287" s="23" t="n">
        <v>2022</v>
      </c>
      <c r="B287" s="23" t="s">
        <v>90</v>
      </c>
      <c r="C287" s="27" t="n">
        <v>91.3</v>
      </c>
      <c r="D287" s="27" t="n">
        <v>7.6</v>
      </c>
    </row>
    <row r="288" customFormat="false" ht="15" hidden="false" customHeight="false" outlineLevel="0" collapsed="false">
      <c r="A288" s="23" t="n">
        <v>2022</v>
      </c>
      <c r="B288" s="23" t="s">
        <v>91</v>
      </c>
      <c r="C288" s="27" t="n">
        <v>91.4</v>
      </c>
      <c r="D288" s="27" t="n">
        <v>7.5</v>
      </c>
    </row>
    <row r="289" customFormat="false" ht="15" hidden="false" customHeight="false" outlineLevel="0" collapsed="false">
      <c r="A289" s="23" t="n">
        <v>2022</v>
      </c>
      <c r="B289" s="23" t="s">
        <v>92</v>
      </c>
      <c r="C289" s="27" t="n">
        <v>91.7</v>
      </c>
      <c r="D289" s="27" t="n">
        <v>7.6</v>
      </c>
    </row>
    <row r="290" customFormat="false" ht="15" hidden="false" customHeight="false" outlineLevel="0" collapsed="false">
      <c r="A290" s="23" t="n">
        <v>2022</v>
      </c>
      <c r="B290" s="23" t="s">
        <v>93</v>
      </c>
      <c r="C290" s="27" t="n">
        <v>92</v>
      </c>
      <c r="D290" s="27" t="n">
        <v>7.4</v>
      </c>
    </row>
    <row r="291" customFormat="false" ht="15" hidden="false" customHeight="false" outlineLevel="0" collapsed="false">
      <c r="A291" s="23" t="n">
        <v>2022</v>
      </c>
      <c r="B291" s="23" t="s">
        <v>94</v>
      </c>
      <c r="C291" s="27" t="n">
        <v>92.3</v>
      </c>
      <c r="D291" s="27" t="n">
        <v>7.2</v>
      </c>
    </row>
    <row r="292" customFormat="false" ht="15" hidden="false" customHeight="false" outlineLevel="0" collapsed="false">
      <c r="A292" s="23" t="n">
        <v>2023</v>
      </c>
      <c r="B292" s="23" t="s">
        <v>83</v>
      </c>
      <c r="C292" s="27" t="n">
        <v>92.2</v>
      </c>
      <c r="D292" s="27" t="n">
        <v>6.9</v>
      </c>
    </row>
    <row r="293" customFormat="false" ht="15" hidden="false" customHeight="false" outlineLevel="0" collapsed="false">
      <c r="A293" s="23" t="n">
        <v>2023</v>
      </c>
      <c r="B293" s="23" t="s">
        <v>84</v>
      </c>
      <c r="C293" s="27" t="n">
        <v>92.9</v>
      </c>
      <c r="D293" s="27" t="n">
        <v>7</v>
      </c>
    </row>
    <row r="294" customFormat="false" ht="15" hidden="false" customHeight="false" outlineLevel="0" collapsed="false">
      <c r="A294" s="23" t="n">
        <v>2023</v>
      </c>
      <c r="B294" s="23" t="s">
        <v>85</v>
      </c>
      <c r="C294" s="27" t="n">
        <v>93.9</v>
      </c>
      <c r="D294" s="27" t="n">
        <v>7.1</v>
      </c>
    </row>
    <row r="295" customFormat="false" ht="15" hidden="false" customHeight="false" outlineLevel="0" collapsed="false">
      <c r="A295" s="23" t="n">
        <v>2023</v>
      </c>
      <c r="B295" s="23" t="s">
        <v>86</v>
      </c>
      <c r="C295" s="27" t="n">
        <v>94.2</v>
      </c>
      <c r="D295" s="27" t="n">
        <v>6.8</v>
      </c>
    </row>
    <row r="296" customFormat="false" ht="15" hidden="false" customHeight="false" outlineLevel="0" collapsed="false">
      <c r="A296" s="23" t="n">
        <v>2023</v>
      </c>
      <c r="B296" s="23" t="s">
        <v>87</v>
      </c>
      <c r="C296" s="27" t="n">
        <v>94.4</v>
      </c>
      <c r="D296" s="27" t="n">
        <v>6.3</v>
      </c>
    </row>
    <row r="297" customFormat="false" ht="15" hidden="false" customHeight="false" outlineLevel="0" collapsed="false">
      <c r="A297" s="23" t="n">
        <v>2023</v>
      </c>
      <c r="B297" s="23" t="s">
        <v>88</v>
      </c>
      <c r="C297" s="27" t="n">
        <v>94.6</v>
      </c>
      <c r="D297" s="27" t="n">
        <v>5.4</v>
      </c>
    </row>
    <row r="298" customFormat="false" ht="15" hidden="false" customHeight="false" outlineLevel="0" collapsed="false">
      <c r="A298" s="23" t="n">
        <v>2023</v>
      </c>
      <c r="B298" s="23" t="s">
        <v>89</v>
      </c>
      <c r="C298" s="27" t="n">
        <v>95.4</v>
      </c>
      <c r="D298" s="27" t="n">
        <v>4.7</v>
      </c>
    </row>
    <row r="299" customFormat="false" ht="15" hidden="false" customHeight="false" outlineLevel="0" collapsed="false">
      <c r="A299" s="23" t="n">
        <v>2023</v>
      </c>
      <c r="B299" s="23" t="s">
        <v>90</v>
      </c>
      <c r="C299" s="27" t="n">
        <v>95.7</v>
      </c>
      <c r="D299" s="27" t="n">
        <v>4.8</v>
      </c>
    </row>
    <row r="300" customFormat="false" ht="15" hidden="false" customHeight="false" outlineLevel="0" collapsed="false">
      <c r="A300" s="23" t="n">
        <v>2023</v>
      </c>
      <c r="B300" s="23" t="s">
        <v>91</v>
      </c>
      <c r="C300" s="27" t="n">
        <v>96.3</v>
      </c>
      <c r="D300" s="27" t="n">
        <v>5.4</v>
      </c>
    </row>
    <row r="301" customFormat="false" ht="15" hidden="false" customHeight="false" outlineLevel="0" collapsed="false">
      <c r="A301" s="23" t="n">
        <v>2023</v>
      </c>
      <c r="B301" s="23" t="s">
        <v>92</v>
      </c>
      <c r="C301" s="27" t="n">
        <v>97.2</v>
      </c>
      <c r="D301" s="27" t="n">
        <v>5.9</v>
      </c>
    </row>
    <row r="302" customFormat="false" ht="15" hidden="false" customHeight="false" outlineLevel="0" collapsed="false">
      <c r="A302" s="23" t="n">
        <v>2023</v>
      </c>
      <c r="B302" s="23" t="s">
        <v>93</v>
      </c>
      <c r="C302" s="27" t="n">
        <v>97.1</v>
      </c>
      <c r="D302" s="27" t="n">
        <v>5.5</v>
      </c>
    </row>
    <row r="303" customFormat="false" ht="15" hidden="false" customHeight="false" outlineLevel="0" collapsed="false">
      <c r="A303" s="23" t="n">
        <v>2023</v>
      </c>
      <c r="B303" s="23" t="s">
        <v>94</v>
      </c>
      <c r="C303" s="27" t="n">
        <v>97.1</v>
      </c>
      <c r="D303" s="27" t="n">
        <v>5.1</v>
      </c>
    </row>
    <row r="304" customFormat="false" ht="15" hidden="false" customHeight="false" outlineLevel="0" collapsed="false">
      <c r="A304" s="23" t="n">
        <v>2024</v>
      </c>
      <c r="B304" s="23" t="s">
        <v>83</v>
      </c>
      <c r="C304" s="27" t="n">
        <v>97.2</v>
      </c>
      <c r="D304" s="27" t="n">
        <v>5.3</v>
      </c>
    </row>
    <row r="305" customFormat="false" ht="15" hidden="false" customHeight="false" outlineLevel="0" collapsed="false">
      <c r="A305" s="23" t="n">
        <v>2024</v>
      </c>
      <c r="B305" s="23" t="s">
        <v>84</v>
      </c>
      <c r="C305" s="27" t="n">
        <v>98.1</v>
      </c>
      <c r="D305" s="27" t="n">
        <v>5.6</v>
      </c>
    </row>
    <row r="306" customFormat="false" ht="15" hidden="false" customHeight="false" outlineLevel="0" collapsed="false">
      <c r="A306" s="23" t="n">
        <v>2024</v>
      </c>
      <c r="B306" s="23" t="s">
        <v>85</v>
      </c>
      <c r="C306" s="27" t="n">
        <v>98.9</v>
      </c>
      <c r="D306" s="27" t="n">
        <v>5.3</v>
      </c>
    </row>
    <row r="307" customFormat="false" ht="15" hidden="false" customHeight="false" outlineLevel="0" collapsed="false">
      <c r="A307" s="23" t="n">
        <v>2024</v>
      </c>
      <c r="B307" s="23" t="s">
        <v>86</v>
      </c>
      <c r="C307" s="27" t="n">
        <v>99.1</v>
      </c>
      <c r="D307" s="27" t="n">
        <v>5.2</v>
      </c>
    </row>
    <row r="308" customFormat="false" ht="15" hidden="false" customHeight="false" outlineLevel="0" collapsed="false">
      <c r="A308" s="23" t="n">
        <v>2024</v>
      </c>
      <c r="B308" s="23" t="s">
        <v>87</v>
      </c>
      <c r="C308" s="27" t="n">
        <v>99.3</v>
      </c>
      <c r="D308" s="27" t="n">
        <v>5.2</v>
      </c>
    </row>
    <row r="309" customFormat="false" ht="15" hidden="false" customHeight="false" outlineLevel="0" collapsed="false">
      <c r="A309" s="23" t="n">
        <v>2024</v>
      </c>
      <c r="B309" s="23" t="s">
        <v>88</v>
      </c>
      <c r="C309" s="27" t="n">
        <v>99.4</v>
      </c>
      <c r="D309" s="27" t="n">
        <v>5.1</v>
      </c>
    </row>
    <row r="310" customFormat="false" ht="15" hidden="false" customHeight="false" outlineLevel="0" collapsed="false">
      <c r="A310" s="23" t="n">
        <v>2024</v>
      </c>
      <c r="B310" s="23" t="s">
        <v>89</v>
      </c>
      <c r="C310" s="27" t="n">
        <v>99.8</v>
      </c>
      <c r="D310" s="27" t="n">
        <v>4.6</v>
      </c>
    </row>
    <row r="311" customFormat="false" ht="15" hidden="false" customHeight="false" outlineLevel="0" collapsed="false">
      <c r="A311" s="23" t="n">
        <v>2024</v>
      </c>
      <c r="B311" s="23" t="s">
        <v>90</v>
      </c>
      <c r="C311" s="27" t="n">
        <v>99.9</v>
      </c>
      <c r="D311" s="27" t="n">
        <v>4.4</v>
      </c>
    </row>
    <row r="312" customFormat="false" ht="15" hidden="false" customHeight="false" outlineLevel="0" collapsed="false">
      <c r="A312" s="23" t="n">
        <v>2024</v>
      </c>
      <c r="B312" s="23" t="s">
        <v>91</v>
      </c>
      <c r="C312" s="27" t="n">
        <v>100</v>
      </c>
      <c r="D312" s="27" t="n">
        <v>3.8</v>
      </c>
    </row>
    <row r="313" customFormat="false" ht="15" hidden="false" customHeight="false" outlineLevel="0" collapsed="false">
      <c r="A313" s="23" t="n">
        <v>2024</v>
      </c>
      <c r="B313" s="23" t="s">
        <v>92</v>
      </c>
      <c r="C313" s="27" t="n">
        <v>99.9</v>
      </c>
      <c r="D313" s="27" t="n">
        <v>2.8</v>
      </c>
    </row>
    <row r="314" customFormat="false" ht="15" hidden="false" customHeight="false" outlineLevel="0" collapsed="false">
      <c r="A314" s="23" t="n">
        <v>2024</v>
      </c>
      <c r="B314" s="23" t="s">
        <v>93</v>
      </c>
      <c r="C314" s="27" t="n">
        <v>99.9</v>
      </c>
      <c r="D314" s="27" t="n">
        <v>2.9</v>
      </c>
    </row>
    <row r="315" customFormat="false" ht="15" hidden="false" customHeight="false" outlineLevel="0" collapsed="false">
      <c r="A315" s="23" t="n">
        <v>2024</v>
      </c>
      <c r="B315" s="23" t="s">
        <v>94</v>
      </c>
      <c r="C315" s="27" t="n">
        <v>100</v>
      </c>
      <c r="D315" s="27" t="n">
        <v>3</v>
      </c>
    </row>
    <row r="316" customFormat="false" ht="15" hidden="false" customHeight="false" outlineLevel="0" collapsed="false">
      <c r="A316" s="23" t="n">
        <v>2025</v>
      </c>
      <c r="B316" s="23" t="s">
        <v>83</v>
      </c>
      <c r="C316" s="27" t="n">
        <v>100.3</v>
      </c>
      <c r="D316" s="27" t="n">
        <v>3.2</v>
      </c>
    </row>
    <row r="317" customFormat="false" ht="15" hidden="false" customHeight="false" outlineLevel="0" collapsed="false">
      <c r="A317" s="23" t="n">
        <v>2025</v>
      </c>
      <c r="B317" s="23" t="s">
        <v>84</v>
      </c>
      <c r="C317" s="27" t="n">
        <v>101.2</v>
      </c>
      <c r="D317" s="27" t="n">
        <v>3.2</v>
      </c>
    </row>
    <row r="318" customFormat="false" ht="15" hidden="false" customHeight="false" outlineLevel="0" collapsed="false">
      <c r="A318" s="23" t="n">
        <v>2025</v>
      </c>
      <c r="B318" s="23" t="s">
        <v>85</v>
      </c>
      <c r="C318" s="27" t="n">
        <v>101.6</v>
      </c>
      <c r="D318" s="27" t="n">
        <v>2.7</v>
      </c>
    </row>
    <row r="319" customFormat="false" ht="15" hidden="false" customHeight="false" outlineLevel="0" collapsed="false">
      <c r="A319" s="23" t="n">
        <v>2025</v>
      </c>
      <c r="B319" s="23" t="s">
        <v>86</v>
      </c>
      <c r="C319" s="27" t="n">
        <v>101.9</v>
      </c>
      <c r="D319" s="27" t="n">
        <v>2.8</v>
      </c>
    </row>
    <row r="320" customFormat="false" ht="15" hidden="false" customHeight="false" outlineLevel="0" collapsed="false">
      <c r="A320" s="23" t="n">
        <v>2025</v>
      </c>
      <c r="B320" s="23" t="s">
        <v>87</v>
      </c>
      <c r="C320" s="27" t="n">
        <v>102.1</v>
      </c>
      <c r="D320" s="27" t="n">
        <v>2.8</v>
      </c>
    </row>
    <row r="321" customFormat="false" ht="15" hidden="false" customHeight="false" outlineLevel="0" collapsed="false">
      <c r="A321" s="23" t="n">
        <v>2025</v>
      </c>
      <c r="B321" s="23" t="s">
        <v>88</v>
      </c>
      <c r="C321" s="27" t="n">
        <v>102.4</v>
      </c>
      <c r="D321" s="27" t="n">
        <v>3</v>
      </c>
    </row>
    <row r="322" customFormat="false" ht="15" hidden="false" customHeight="false" outlineLevel="0" collapsed="false">
      <c r="A322" s="23" t="n">
        <v>2025</v>
      </c>
      <c r="B322" s="23" t="s">
        <v>89</v>
      </c>
      <c r="C322" s="27" t="n">
        <v>103.3</v>
      </c>
      <c r="D322" s="27" t="n">
        <v>3.5</v>
      </c>
    </row>
    <row r="323" customFormat="false" ht="15" hidden="false" customHeight="false" outlineLevel="0" collapsed="false">
      <c r="A323" s="23" t="n">
        <v>2025</v>
      </c>
      <c r="B323" s="23" t="s">
        <v>90</v>
      </c>
      <c r="C323" s="27" t="n">
        <v>103.2</v>
      </c>
      <c r="D323" s="27" t="n">
        <v>3.3</v>
      </c>
    </row>
    <row r="324" customFormat="false" ht="15" hidden="false" customHeight="false" outlineLevel="0" collapsed="false">
      <c r="A324" s="23" t="n">
        <v>2025</v>
      </c>
      <c r="B324" s="23" t="s">
        <v>91</v>
      </c>
      <c r="C324" s="27" t="n">
        <v>103.4</v>
      </c>
      <c r="D324" s="27" t="n">
        <v>3.4</v>
      </c>
    </row>
    <row r="325" customFormat="false" ht="15" hidden="false" customHeight="false" outlineLevel="0" collapsed="false">
      <c r="A325" s="23" t="n">
        <v>2025</v>
      </c>
      <c r="B325" s="23" t="s">
        <v>92</v>
      </c>
      <c r="C325" s="27" t="n">
        <v>103.5</v>
      </c>
      <c r="D325" s="27" t="n">
        <v>3.6</v>
      </c>
    </row>
    <row r="326" customFormat="false" ht="15" hidden="false" customHeight="false" outlineLevel="0" collapsed="false">
      <c r="A326" s="23" t="n">
        <v>2025</v>
      </c>
      <c r="B326" s="23" t="s">
        <v>93</v>
      </c>
      <c r="C326" s="27" t="n">
        <v>103.4</v>
      </c>
      <c r="D326" s="27" t="n">
        <v>3.5</v>
      </c>
    </row>
    <row r="327" customFormat="false" ht="15" hidden="false" customHeight="false" outlineLevel="0" collapsed="false">
      <c r="A327" s="23" t="n">
        <v>2025</v>
      </c>
      <c r="B327" s="23" t="s">
        <v>94</v>
      </c>
      <c r="C327" s="27" t="n">
        <v>103.6</v>
      </c>
      <c r="D327" s="27" t="n">
        <v>3.6</v>
      </c>
    </row>
    <row r="328" customFormat="false" ht="15" hidden="false" customHeight="false" outlineLevel="0" collapsed="false">
      <c r="A328" s="23" t="n">
        <v>2026</v>
      </c>
      <c r="B328" s="23" t="s">
        <v>83</v>
      </c>
      <c r="C328" s="27" t="n">
        <v>103.8</v>
      </c>
      <c r="D328" s="27" t="n">
        <v>3.5</v>
      </c>
    </row>
    <row r="329" customFormat="false" ht="15" hidden="false" customHeight="false" outlineLevel="0" collapsed="false">
      <c r="A329" s="23" t="n">
        <v>2026</v>
      </c>
      <c r="B329" s="23" t="s">
        <v>84</v>
      </c>
      <c r="C329" s="27" t="n">
        <v>104.2</v>
      </c>
      <c r="D329" s="27" t="n">
        <v>3</v>
      </c>
    </row>
    <row r="330" customFormat="false" ht="15" hidden="false" customHeight="false" outlineLevel="0" collapsed="false">
      <c r="A330" s="23" t="n">
        <v>2026</v>
      </c>
      <c r="B330" s="23" t="s">
        <v>85</v>
      </c>
      <c r="C330" s="27" t="n">
        <v>104.8</v>
      </c>
      <c r="D330" s="27" t="n">
        <v>3.1</v>
      </c>
    </row>
    <row r="331" customFormat="false" ht="15" hidden="false" customHeight="false" outlineLevel="0" collapsed="false">
      <c r="A331" s="23" t="n">
        <v>2026</v>
      </c>
      <c r="B331" s="23" t="s">
        <v>86</v>
      </c>
      <c r="C331" s="27" t="n">
        <v>106</v>
      </c>
      <c r="D331" s="27" t="n">
        <v>4</v>
      </c>
    </row>
    <row r="332" customFormat="false" ht="15" hidden="false" customHeight="false" outlineLevel="0" collapsed="false">
      <c r="A332" s="23" t="n">
        <v>2026</v>
      </c>
      <c r="B332" s="23" t="s">
        <v>87</v>
      </c>
      <c r="C332" s="27" t="n">
        <v>106.7</v>
      </c>
      <c r="D332" s="27" t="n">
        <v>4.5</v>
      </c>
    </row>
    <row r="333" customFormat="false" ht="15" hidden="false" customHeight="false" outlineLevel="0" collapsed="false">
      <c r="A333" s="23" t="n">
        <v>2026</v>
      </c>
      <c r="B333" s="23" t="s">
        <v>88</v>
      </c>
      <c r="C333" s="27" t="n">
        <v>107.5</v>
      </c>
      <c r="D333" s="27" t="n">
        <v>5</v>
      </c>
    </row>
    <row r="334" customFormat="false" ht="15" hidden="false" customHeight="false" outlineLevel="0" collapsed="false">
      <c r="A334" s="23" t="n">
        <v>2026</v>
      </c>
      <c r="B334" s="23" t="s">
        <v>89</v>
      </c>
      <c r="C334" s="27" t="n">
        <v>107.7</v>
      </c>
      <c r="D334" s="27" t="n">
        <v>4.3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8"/>
    <col collapsed="false" customWidth="true" hidden="false" outlineLevel="0" max="4" min="4" style="0" width="55"/>
  </cols>
  <sheetData>
    <row r="1" customFormat="false" ht="15" hidden="false" customHeight="false" outlineLevel="0" collapsed="false">
      <c r="A1" s="21" t="s">
        <v>95</v>
      </c>
      <c r="B1" s="21"/>
      <c r="C1" s="21"/>
      <c r="D1" s="21"/>
    </row>
    <row r="3" customFormat="false" ht="23.85" hidden="false" customHeight="false" outlineLevel="0" collapsed="false">
      <c r="A3" s="22" t="s">
        <v>2</v>
      </c>
      <c r="B3" s="22" t="s">
        <v>96</v>
      </c>
      <c r="C3" s="22" t="s">
        <v>97</v>
      </c>
      <c r="D3" s="22" t="s">
        <v>78</v>
      </c>
    </row>
    <row r="4" customFormat="false" ht="15" hidden="false" customHeight="false" outlineLevel="0" collapsed="false">
      <c r="A4" s="23" t="n">
        <v>1999</v>
      </c>
      <c r="B4" s="27" t="n">
        <v>925690.4</v>
      </c>
      <c r="C4" s="27" t="n">
        <v>2712790.6</v>
      </c>
    </row>
    <row r="5" customFormat="false" ht="15" hidden="false" customHeight="false" outlineLevel="0" collapsed="false">
      <c r="A5" s="23" t="n">
        <v>2000</v>
      </c>
      <c r="B5" s="27" t="n">
        <v>1053138</v>
      </c>
      <c r="C5" s="27" t="n">
        <v>2826727.8</v>
      </c>
    </row>
    <row r="6" customFormat="false" ht="15" hidden="false" customHeight="false" outlineLevel="0" collapsed="false">
      <c r="A6" s="23" t="n">
        <v>2001</v>
      </c>
      <c r="B6" s="27" t="n">
        <v>1165940.6</v>
      </c>
      <c r="C6" s="27" t="n">
        <v>2903049.5</v>
      </c>
    </row>
    <row r="7" customFormat="false" ht="15" hidden="false" customHeight="false" outlineLevel="0" collapsed="false">
      <c r="A7" s="23" t="n">
        <v>2002</v>
      </c>
      <c r="B7" s="27" t="n">
        <v>1360679.3</v>
      </c>
      <c r="C7" s="27" t="n">
        <v>3010473.1</v>
      </c>
    </row>
    <row r="8" customFormat="false" ht="15" hidden="false" customHeight="false" outlineLevel="0" collapsed="false">
      <c r="A8" s="23" t="n">
        <v>2003</v>
      </c>
      <c r="B8" s="27" t="n">
        <v>1490399</v>
      </c>
      <c r="C8" s="27" t="n">
        <v>3099254.3</v>
      </c>
    </row>
    <row r="9" customFormat="false" ht="15" hidden="false" customHeight="false" outlineLevel="0" collapsed="false">
      <c r="A9" s="23" t="n">
        <v>2004</v>
      </c>
      <c r="B9" s="27" t="n">
        <v>1652434.1</v>
      </c>
      <c r="C9" s="27" t="n">
        <v>3240411.7</v>
      </c>
    </row>
    <row r="10" customFormat="false" ht="15" hidden="false" customHeight="false" outlineLevel="0" collapsed="false">
      <c r="A10" s="23" t="n">
        <v>2005</v>
      </c>
      <c r="B10" s="27" t="n">
        <v>1837001.4</v>
      </c>
      <c r="C10" s="27" t="n">
        <v>3411409.9</v>
      </c>
    </row>
    <row r="11" customFormat="false" ht="15" hidden="false" customHeight="false" outlineLevel="0" collapsed="false">
      <c r="A11" s="23" t="n">
        <v>2006</v>
      </c>
      <c r="B11" s="27" t="n">
        <v>2057593.9</v>
      </c>
      <c r="C11" s="27" t="n">
        <v>3602578.7</v>
      </c>
    </row>
    <row r="12" customFormat="false" ht="15" hidden="false" customHeight="false" outlineLevel="0" collapsed="false">
      <c r="A12" s="23" t="n">
        <v>2007</v>
      </c>
      <c r="B12" s="27" t="n">
        <v>2346649.9</v>
      </c>
      <c r="C12" s="27" t="n">
        <v>3795694</v>
      </c>
    </row>
    <row r="13" customFormat="false" ht="15" hidden="false" customHeight="false" outlineLevel="0" collapsed="false">
      <c r="A13" s="23" t="n">
        <v>2008</v>
      </c>
      <c r="B13" s="27" t="n">
        <v>2611630.8</v>
      </c>
      <c r="C13" s="27" t="n">
        <v>3916816.2</v>
      </c>
    </row>
    <row r="14" customFormat="false" ht="15" hidden="false" customHeight="false" outlineLevel="0" collapsed="false">
      <c r="A14" s="23" t="n">
        <v>2009</v>
      </c>
      <c r="B14" s="27" t="n">
        <v>2794228.4</v>
      </c>
      <c r="C14" s="27" t="n">
        <v>3856572.1</v>
      </c>
    </row>
    <row r="15" customFormat="false" ht="15" hidden="false" customHeight="false" outlineLevel="0" collapsed="false">
      <c r="A15" s="23" t="n">
        <v>2010</v>
      </c>
      <c r="B15" s="27" t="n">
        <v>3055613.2</v>
      </c>
      <c r="C15" s="27" t="n">
        <v>3973801.6</v>
      </c>
    </row>
    <row r="16" customFormat="false" ht="15" hidden="false" customHeight="false" outlineLevel="0" collapsed="false">
      <c r="A16" s="23" t="n">
        <v>2011</v>
      </c>
      <c r="B16" s="27" t="n">
        <v>3327047</v>
      </c>
      <c r="C16" s="27" t="n">
        <v>4099713.7</v>
      </c>
    </row>
    <row r="17" customFormat="false" ht="15" hidden="false" customHeight="false" outlineLevel="0" collapsed="false">
      <c r="A17" s="23" t="n">
        <v>2012</v>
      </c>
      <c r="B17" s="27" t="n">
        <v>3566385</v>
      </c>
      <c r="C17" s="27" t="n">
        <v>4197952.4</v>
      </c>
    </row>
    <row r="18" customFormat="false" ht="15" hidden="false" customHeight="false" outlineLevel="0" collapsed="false">
      <c r="A18" s="23" t="n">
        <v>2013</v>
      </c>
      <c r="B18" s="27" t="n">
        <v>3868630.2</v>
      </c>
      <c r="C18" s="27" t="n">
        <v>4302291.2</v>
      </c>
    </row>
    <row r="19" customFormat="false" ht="15" hidden="false" customHeight="false" outlineLevel="0" collapsed="false">
      <c r="A19" s="23" t="n">
        <v>2014</v>
      </c>
      <c r="B19" s="27" t="n">
        <v>4133873</v>
      </c>
      <c r="C19" s="27" t="n">
        <v>4363118.1</v>
      </c>
    </row>
    <row r="20" customFormat="false" ht="15" hidden="false" customHeight="false" outlineLevel="0" collapsed="false">
      <c r="A20" s="23" t="n">
        <v>2015</v>
      </c>
      <c r="B20" s="27" t="n">
        <v>4420792.5</v>
      </c>
      <c r="C20" s="27" t="n">
        <v>4420792.5</v>
      </c>
    </row>
    <row r="21" customFormat="false" ht="15" hidden="false" customHeight="false" outlineLevel="0" collapsed="false">
      <c r="A21" s="23" t="n">
        <v>2016</v>
      </c>
      <c r="B21" s="27" t="n">
        <v>4759554.5</v>
      </c>
      <c r="C21" s="27" t="n">
        <v>4450171</v>
      </c>
    </row>
    <row r="22" customFormat="false" ht="15" hidden="false" customHeight="false" outlineLevel="0" collapsed="false">
      <c r="A22" s="23" t="n">
        <v>2017</v>
      </c>
      <c r="B22" s="27" t="n">
        <v>5078189.9</v>
      </c>
      <c r="C22" s="27" t="n">
        <v>4501701.6</v>
      </c>
    </row>
    <row r="23" customFormat="false" ht="15" hidden="false" customHeight="false" outlineLevel="0" collapsed="false">
      <c r="A23" s="23" t="n">
        <v>2018</v>
      </c>
      <c r="B23" s="27" t="n">
        <v>5363190.4</v>
      </c>
      <c r="C23" s="27" t="n">
        <v>4571783.4</v>
      </c>
    </row>
    <row r="24" customFormat="false" ht="15" hidden="false" customHeight="false" outlineLevel="0" collapsed="false">
      <c r="A24" s="23" t="n">
        <v>2019</v>
      </c>
      <c r="B24" s="27" t="n">
        <v>5625206.5</v>
      </c>
      <c r="C24" s="27" t="n">
        <v>4583667.1</v>
      </c>
    </row>
    <row r="25" customFormat="false" ht="15" hidden="false" customHeight="false" outlineLevel="0" collapsed="false">
      <c r="A25" s="23" t="n">
        <v>2020</v>
      </c>
      <c r="B25" s="27" t="n">
        <v>5562760.3</v>
      </c>
      <c r="C25" s="27" t="n">
        <v>4300904.4</v>
      </c>
    </row>
    <row r="26" customFormat="false" ht="15" hidden="false" customHeight="false" outlineLevel="0" collapsed="false">
      <c r="A26" s="23" t="n">
        <v>2021</v>
      </c>
      <c r="B26" s="27" t="n">
        <v>6206842.1</v>
      </c>
      <c r="C26" s="27" t="n">
        <v>4509870.3</v>
      </c>
    </row>
    <row r="27" customFormat="false" ht="15" hidden="false" customHeight="false" outlineLevel="0" collapsed="false">
      <c r="A27" s="23" t="n">
        <v>2022</v>
      </c>
      <c r="B27" s="27" t="n">
        <v>6666581</v>
      </c>
      <c r="C27" s="27" t="n">
        <v>4602689.5</v>
      </c>
    </row>
    <row r="28" customFormat="false" ht="15" hidden="false" customHeight="false" outlineLevel="0" collapsed="false">
      <c r="A28" s="23" t="n">
        <v>2023</v>
      </c>
      <c r="B28" s="27" t="n">
        <v>7037674.4</v>
      </c>
      <c r="C28" s="27" t="n">
        <v>4639792</v>
      </c>
    </row>
    <row r="29" customFormat="false" ht="15" hidden="false" customHeight="false" outlineLevel="0" collapsed="false">
      <c r="A29" s="23" t="n">
        <v>2024</v>
      </c>
      <c r="B29" s="27" t="n">
        <v>7352449.5</v>
      </c>
      <c r="C29" s="27" t="n">
        <v>4664607.7</v>
      </c>
    </row>
    <row r="30" customFormat="false" ht="15" hidden="false" customHeight="false" outlineLevel="0" collapsed="false">
      <c r="A30" s="23" t="n">
        <v>2025</v>
      </c>
      <c r="B30" s="27" t="n">
        <v>7641793.2</v>
      </c>
      <c r="C30" s="27" t="n">
        <v>4716600.6</v>
      </c>
    </row>
    <row r="31" customFormat="false" ht="15" hidden="false" customHeight="false" outlineLevel="0" collapsed="false">
      <c r="A31" s="24" t="n">
        <v>2026</v>
      </c>
      <c r="B31" s="24" t="n">
        <f aca="false">SUM(GDP_Quarterly!C109,GDP_Quarterly!C110,GDP_Quarterly!C111,GDP_Quarterly!C112)</f>
        <v>7780960.6</v>
      </c>
      <c r="C31" s="24" t="n">
        <f aca="false">SUM(GDP_Quarterly!D109,GDP_Quarterly!D110,GDP_Quarterly!D111,GDP_Quarterly!D112)</f>
        <v>4737866.3</v>
      </c>
      <c r="D31" s="25" t="s">
        <v>98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4"/>
    <col collapsed="false" customWidth="true" hidden="false" outlineLevel="0" max="4" min="4" style="0" width="28"/>
  </cols>
  <sheetData>
    <row r="1" customFormat="false" ht="15" hidden="false" customHeight="false" outlineLevel="0" collapsed="false">
      <c r="A1" s="21" t="s">
        <v>99</v>
      </c>
      <c r="B1" s="21"/>
      <c r="C1" s="21"/>
      <c r="D1" s="21"/>
    </row>
    <row r="2" customFormat="false" ht="15" hidden="false" customHeight="false" outlineLevel="0" collapsed="false">
      <c r="A2" s="13" t="s">
        <v>100</v>
      </c>
      <c r="B2" s="13"/>
      <c r="C2" s="13"/>
      <c r="D2" s="13"/>
    </row>
    <row r="4" customFormat="false" ht="15" hidden="false" customHeight="false" outlineLevel="0" collapsed="false">
      <c r="A4" s="26" t="s">
        <v>2</v>
      </c>
      <c r="B4" s="26" t="s">
        <v>101</v>
      </c>
      <c r="C4" s="26" t="s">
        <v>102</v>
      </c>
      <c r="D4" s="26" t="s">
        <v>97</v>
      </c>
    </row>
    <row r="5" customFormat="false" ht="15" hidden="false" customHeight="false" outlineLevel="0" collapsed="false">
      <c r="A5" s="23" t="n">
        <v>1999</v>
      </c>
      <c r="B5" s="23" t="s">
        <v>103</v>
      </c>
      <c r="C5" s="27" t="n">
        <v>217376.3</v>
      </c>
      <c r="D5" s="27" t="n">
        <v>650460.8</v>
      </c>
    </row>
    <row r="6" customFormat="false" ht="15" hidden="false" customHeight="false" outlineLevel="0" collapsed="false">
      <c r="A6" s="23" t="n">
        <v>1999</v>
      </c>
      <c r="B6" s="23" t="s">
        <v>104</v>
      </c>
      <c r="C6" s="27" t="n">
        <v>225691.7</v>
      </c>
      <c r="D6" s="27" t="n">
        <v>677457.9</v>
      </c>
    </row>
    <row r="7" customFormat="false" ht="15" hidden="false" customHeight="false" outlineLevel="0" collapsed="false">
      <c r="A7" s="23" t="n">
        <v>1999</v>
      </c>
      <c r="B7" s="23" t="s">
        <v>105</v>
      </c>
      <c r="C7" s="27" t="n">
        <v>238959.5</v>
      </c>
      <c r="D7" s="27" t="n">
        <v>687695.8</v>
      </c>
    </row>
    <row r="8" customFormat="false" ht="15" hidden="false" customHeight="false" outlineLevel="0" collapsed="false">
      <c r="A8" s="23" t="n">
        <v>1999</v>
      </c>
      <c r="B8" s="23" t="s">
        <v>106</v>
      </c>
      <c r="C8" s="27" t="n">
        <v>243662.9</v>
      </c>
      <c r="D8" s="27" t="n">
        <v>697176.1</v>
      </c>
    </row>
    <row r="9" customFormat="false" ht="15" hidden="false" customHeight="false" outlineLevel="0" collapsed="false">
      <c r="A9" s="23" t="n">
        <v>2000</v>
      </c>
      <c r="B9" s="23" t="s">
        <v>103</v>
      </c>
      <c r="C9" s="27" t="n">
        <v>244300</v>
      </c>
      <c r="D9" s="27" t="n">
        <v>673853.8</v>
      </c>
    </row>
    <row r="10" customFormat="false" ht="15" hidden="false" customHeight="false" outlineLevel="0" collapsed="false">
      <c r="A10" s="23" t="n">
        <v>2000</v>
      </c>
      <c r="B10" s="23" t="s">
        <v>104</v>
      </c>
      <c r="C10" s="27" t="n">
        <v>257523.3</v>
      </c>
      <c r="D10" s="27" t="n">
        <v>700641.1</v>
      </c>
    </row>
    <row r="11" customFormat="false" ht="15" hidden="false" customHeight="false" outlineLevel="0" collapsed="false">
      <c r="A11" s="23" t="n">
        <v>2000</v>
      </c>
      <c r="B11" s="23" t="s">
        <v>105</v>
      </c>
      <c r="C11" s="27" t="n">
        <v>273459.8</v>
      </c>
      <c r="D11" s="27" t="n">
        <v>723788.5</v>
      </c>
    </row>
    <row r="12" customFormat="false" ht="15" hidden="false" customHeight="false" outlineLevel="0" collapsed="false">
      <c r="A12" s="23" t="n">
        <v>2000</v>
      </c>
      <c r="B12" s="23" t="s">
        <v>106</v>
      </c>
      <c r="C12" s="27" t="n">
        <v>277854.9</v>
      </c>
      <c r="D12" s="27" t="n">
        <v>728444.3</v>
      </c>
    </row>
    <row r="13" customFormat="false" ht="15" hidden="false" customHeight="false" outlineLevel="0" collapsed="false">
      <c r="A13" s="23" t="n">
        <v>2001</v>
      </c>
      <c r="B13" s="23" t="s">
        <v>103</v>
      </c>
      <c r="C13" s="27" t="n">
        <v>278789.9</v>
      </c>
      <c r="D13" s="27" t="n">
        <v>699015</v>
      </c>
    </row>
    <row r="14" customFormat="false" ht="15" hidden="false" customHeight="false" outlineLevel="0" collapsed="false">
      <c r="A14" s="23" t="n">
        <v>2001</v>
      </c>
      <c r="B14" s="23" t="s">
        <v>104</v>
      </c>
      <c r="C14" s="27" t="n">
        <v>287788.9</v>
      </c>
      <c r="D14" s="27" t="n">
        <v>726480.4</v>
      </c>
    </row>
    <row r="15" customFormat="false" ht="15" hidden="false" customHeight="false" outlineLevel="0" collapsed="false">
      <c r="A15" s="23" t="n">
        <v>2001</v>
      </c>
      <c r="B15" s="23" t="s">
        <v>105</v>
      </c>
      <c r="C15" s="27" t="n">
        <v>295577.6</v>
      </c>
      <c r="D15" s="27" t="n">
        <v>734714.4</v>
      </c>
    </row>
    <row r="16" customFormat="false" ht="15" hidden="false" customHeight="false" outlineLevel="0" collapsed="false">
      <c r="A16" s="23" t="n">
        <v>2001</v>
      </c>
      <c r="B16" s="23" t="s">
        <v>106</v>
      </c>
      <c r="C16" s="27" t="n">
        <v>303784.2</v>
      </c>
      <c r="D16" s="27" t="n">
        <v>742839.7</v>
      </c>
    </row>
    <row r="17" customFormat="false" ht="15" hidden="false" customHeight="false" outlineLevel="0" collapsed="false">
      <c r="A17" s="23" t="n">
        <v>2002</v>
      </c>
      <c r="B17" s="23" t="s">
        <v>103</v>
      </c>
      <c r="C17" s="27" t="n">
        <v>317361.7</v>
      </c>
      <c r="D17" s="27" t="n">
        <v>723732.1</v>
      </c>
    </row>
    <row r="18" customFormat="false" ht="15" hidden="false" customHeight="false" outlineLevel="0" collapsed="false">
      <c r="A18" s="23" t="n">
        <v>2002</v>
      </c>
      <c r="B18" s="23" t="s">
        <v>104</v>
      </c>
      <c r="C18" s="27" t="n">
        <v>336997.3</v>
      </c>
      <c r="D18" s="27" t="n">
        <v>753911.5</v>
      </c>
    </row>
    <row r="19" customFormat="false" ht="15" hidden="false" customHeight="false" outlineLevel="0" collapsed="false">
      <c r="A19" s="23" t="n">
        <v>2002</v>
      </c>
      <c r="B19" s="23" t="s">
        <v>105</v>
      </c>
      <c r="C19" s="27" t="n">
        <v>348665.4</v>
      </c>
      <c r="D19" s="27" t="n">
        <v>760843.3</v>
      </c>
    </row>
    <row r="20" customFormat="false" ht="15" hidden="false" customHeight="false" outlineLevel="0" collapsed="false">
      <c r="A20" s="23" t="n">
        <v>2002</v>
      </c>
      <c r="B20" s="23" t="s">
        <v>106</v>
      </c>
      <c r="C20" s="27" t="n">
        <v>357654.9</v>
      </c>
      <c r="D20" s="27" t="n">
        <v>771986.3</v>
      </c>
    </row>
    <row r="21" customFormat="false" ht="15" hidden="false" customHeight="false" outlineLevel="0" collapsed="false">
      <c r="A21" s="23" t="n">
        <v>2003</v>
      </c>
      <c r="B21" s="23" t="s">
        <v>103</v>
      </c>
      <c r="C21" s="27" t="n">
        <v>357617</v>
      </c>
      <c r="D21" s="27" t="n">
        <v>746942.3</v>
      </c>
    </row>
    <row r="22" customFormat="false" ht="15" hidden="false" customHeight="false" outlineLevel="0" collapsed="false">
      <c r="A22" s="23" t="n">
        <v>2003</v>
      </c>
      <c r="B22" s="23" t="s">
        <v>104</v>
      </c>
      <c r="C22" s="27" t="n">
        <v>368052.2</v>
      </c>
      <c r="D22" s="27" t="n">
        <v>778102.3</v>
      </c>
    </row>
    <row r="23" customFormat="false" ht="15" hidden="false" customHeight="false" outlineLevel="0" collapsed="false">
      <c r="A23" s="23" t="n">
        <v>2003</v>
      </c>
      <c r="B23" s="23" t="s">
        <v>105</v>
      </c>
      <c r="C23" s="27" t="n">
        <v>378384</v>
      </c>
      <c r="D23" s="27" t="n">
        <v>783699.9</v>
      </c>
    </row>
    <row r="24" customFormat="false" ht="15" hidden="false" customHeight="false" outlineLevel="0" collapsed="false">
      <c r="A24" s="23" t="n">
        <v>2003</v>
      </c>
      <c r="B24" s="23" t="s">
        <v>106</v>
      </c>
      <c r="C24" s="27" t="n">
        <v>386345.8</v>
      </c>
      <c r="D24" s="27" t="n">
        <v>790509.7</v>
      </c>
    </row>
    <row r="25" customFormat="false" ht="15" hidden="false" customHeight="false" outlineLevel="0" collapsed="false">
      <c r="A25" s="23" t="n">
        <v>2004</v>
      </c>
      <c r="B25" s="23" t="s">
        <v>103</v>
      </c>
      <c r="C25" s="27" t="n">
        <v>391975.3</v>
      </c>
      <c r="D25" s="27" t="n">
        <v>774936.4</v>
      </c>
    </row>
    <row r="26" customFormat="false" ht="15" hidden="false" customHeight="false" outlineLevel="0" collapsed="false">
      <c r="A26" s="23" t="n">
        <v>2004</v>
      </c>
      <c r="B26" s="23" t="s">
        <v>104</v>
      </c>
      <c r="C26" s="27" t="n">
        <v>405154.2</v>
      </c>
      <c r="D26" s="27" t="n">
        <v>807131.2</v>
      </c>
    </row>
    <row r="27" customFormat="false" ht="15" hidden="false" customHeight="false" outlineLevel="0" collapsed="false">
      <c r="A27" s="23" t="n">
        <v>2004</v>
      </c>
      <c r="B27" s="23" t="s">
        <v>105</v>
      </c>
      <c r="C27" s="27" t="n">
        <v>422079.1</v>
      </c>
      <c r="D27" s="27" t="n">
        <v>823047.4</v>
      </c>
    </row>
    <row r="28" customFormat="false" ht="15" hidden="false" customHeight="false" outlineLevel="0" collapsed="false">
      <c r="A28" s="23" t="n">
        <v>2004</v>
      </c>
      <c r="B28" s="23" t="s">
        <v>106</v>
      </c>
      <c r="C28" s="27" t="n">
        <v>433225.5</v>
      </c>
      <c r="D28" s="27" t="n">
        <v>835296.6</v>
      </c>
    </row>
    <row r="29" customFormat="false" ht="15" hidden="false" customHeight="false" outlineLevel="0" collapsed="false">
      <c r="A29" s="23" t="n">
        <v>2005</v>
      </c>
      <c r="B29" s="23" t="s">
        <v>103</v>
      </c>
      <c r="C29" s="27" t="n">
        <v>430827.4</v>
      </c>
      <c r="D29" s="27" t="n">
        <v>817146.7</v>
      </c>
    </row>
    <row r="30" customFormat="false" ht="15" hidden="false" customHeight="false" outlineLevel="0" collapsed="false">
      <c r="A30" s="23" t="n">
        <v>2005</v>
      </c>
      <c r="B30" s="23" t="s">
        <v>104</v>
      </c>
      <c r="C30" s="27" t="n">
        <v>450026.5</v>
      </c>
      <c r="D30" s="27" t="n">
        <v>849011.8</v>
      </c>
    </row>
    <row r="31" customFormat="false" ht="15" hidden="false" customHeight="false" outlineLevel="0" collapsed="false">
      <c r="A31" s="23" t="n">
        <v>2005</v>
      </c>
      <c r="B31" s="23" t="s">
        <v>105</v>
      </c>
      <c r="C31" s="27" t="n">
        <v>472308.1</v>
      </c>
      <c r="D31" s="27" t="n">
        <v>867946.4</v>
      </c>
    </row>
    <row r="32" customFormat="false" ht="15" hidden="false" customHeight="false" outlineLevel="0" collapsed="false">
      <c r="A32" s="23" t="n">
        <v>2005</v>
      </c>
      <c r="B32" s="23" t="s">
        <v>106</v>
      </c>
      <c r="C32" s="27" t="n">
        <v>483839.5</v>
      </c>
      <c r="D32" s="27" t="n">
        <v>877304.9</v>
      </c>
    </row>
    <row r="33" customFormat="false" ht="15" hidden="false" customHeight="false" outlineLevel="0" collapsed="false">
      <c r="A33" s="23" t="n">
        <v>2006</v>
      </c>
      <c r="B33" s="23" t="s">
        <v>103</v>
      </c>
      <c r="C33" s="27" t="n">
        <v>479550</v>
      </c>
      <c r="D33" s="27" t="n">
        <v>858816.8</v>
      </c>
    </row>
    <row r="34" customFormat="false" ht="15" hidden="false" customHeight="false" outlineLevel="0" collapsed="false">
      <c r="A34" s="23" t="n">
        <v>2006</v>
      </c>
      <c r="B34" s="23" t="s">
        <v>104</v>
      </c>
      <c r="C34" s="27" t="n">
        <v>500491.8</v>
      </c>
      <c r="D34" s="27" t="n">
        <v>890003.2</v>
      </c>
    </row>
    <row r="35" customFormat="false" ht="15" hidden="false" customHeight="false" outlineLevel="0" collapsed="false">
      <c r="A35" s="23" t="n">
        <v>2006</v>
      </c>
      <c r="B35" s="23" t="s">
        <v>105</v>
      </c>
      <c r="C35" s="27" t="n">
        <v>534799.8</v>
      </c>
      <c r="D35" s="27" t="n">
        <v>914091.4</v>
      </c>
    </row>
    <row r="36" customFormat="false" ht="15" hidden="false" customHeight="false" outlineLevel="0" collapsed="false">
      <c r="A36" s="23" t="n">
        <v>2006</v>
      </c>
      <c r="B36" s="23" t="s">
        <v>106</v>
      </c>
      <c r="C36" s="27" t="n">
        <v>542752.3</v>
      </c>
      <c r="D36" s="27" t="n">
        <v>939667.3</v>
      </c>
    </row>
    <row r="37" customFormat="false" ht="15" hidden="false" customHeight="false" outlineLevel="0" collapsed="false">
      <c r="A37" s="23" t="n">
        <v>2007</v>
      </c>
      <c r="B37" s="23" t="s">
        <v>103</v>
      </c>
      <c r="C37" s="27" t="n">
        <v>557505.7</v>
      </c>
      <c r="D37" s="27" t="n">
        <v>914058.5</v>
      </c>
    </row>
    <row r="38" customFormat="false" ht="15" hidden="false" customHeight="false" outlineLevel="0" collapsed="false">
      <c r="A38" s="23" t="n">
        <v>2007</v>
      </c>
      <c r="B38" s="23" t="s">
        <v>104</v>
      </c>
      <c r="C38" s="27" t="n">
        <v>571947.5</v>
      </c>
      <c r="D38" s="27" t="n">
        <v>938671.2</v>
      </c>
    </row>
    <row r="39" customFormat="false" ht="15" hidden="false" customHeight="false" outlineLevel="0" collapsed="false">
      <c r="A39" s="23" t="n">
        <v>2007</v>
      </c>
      <c r="B39" s="23" t="s">
        <v>105</v>
      </c>
      <c r="C39" s="27" t="n">
        <v>599258</v>
      </c>
      <c r="D39" s="27" t="n">
        <v>959477.4</v>
      </c>
    </row>
    <row r="40" customFormat="false" ht="15" hidden="false" customHeight="false" outlineLevel="0" collapsed="false">
      <c r="A40" s="23" t="n">
        <v>2007</v>
      </c>
      <c r="B40" s="23" t="s">
        <v>106</v>
      </c>
      <c r="C40" s="27" t="n">
        <v>617938.6</v>
      </c>
      <c r="D40" s="27" t="n">
        <v>983486.9</v>
      </c>
    </row>
    <row r="41" customFormat="false" ht="15" hidden="false" customHeight="false" outlineLevel="0" collapsed="false">
      <c r="A41" s="23" t="n">
        <v>2008</v>
      </c>
      <c r="B41" s="23" t="s">
        <v>103</v>
      </c>
      <c r="C41" s="27" t="n">
        <v>620116.4</v>
      </c>
      <c r="D41" s="27" t="n">
        <v>949046.8</v>
      </c>
    </row>
    <row r="42" customFormat="false" ht="15" hidden="false" customHeight="false" outlineLevel="0" collapsed="false">
      <c r="A42" s="23" t="n">
        <v>2008</v>
      </c>
      <c r="B42" s="23" t="s">
        <v>104</v>
      </c>
      <c r="C42" s="27" t="n">
        <v>645385.9</v>
      </c>
      <c r="D42" s="27" t="n">
        <v>982490.6</v>
      </c>
    </row>
    <row r="43" customFormat="false" ht="15" hidden="false" customHeight="false" outlineLevel="0" collapsed="false">
      <c r="A43" s="23" t="n">
        <v>2008</v>
      </c>
      <c r="B43" s="23" t="s">
        <v>105</v>
      </c>
      <c r="C43" s="27" t="n">
        <v>674475</v>
      </c>
      <c r="D43" s="27" t="n">
        <v>990596.6</v>
      </c>
    </row>
    <row r="44" customFormat="false" ht="15" hidden="false" customHeight="false" outlineLevel="0" collapsed="false">
      <c r="A44" s="23" t="n">
        <v>2008</v>
      </c>
      <c r="B44" s="23" t="s">
        <v>106</v>
      </c>
      <c r="C44" s="27" t="n">
        <v>671653.5</v>
      </c>
      <c r="D44" s="27" t="n">
        <v>994682.3</v>
      </c>
    </row>
    <row r="45" customFormat="false" ht="15" hidden="false" customHeight="false" outlineLevel="0" collapsed="false">
      <c r="A45" s="23" t="n">
        <v>2009</v>
      </c>
      <c r="B45" s="23" t="s">
        <v>103</v>
      </c>
      <c r="C45" s="27" t="n">
        <v>666641.9</v>
      </c>
      <c r="D45" s="27" t="n">
        <v>938575</v>
      </c>
    </row>
    <row r="46" customFormat="false" ht="15" hidden="false" customHeight="false" outlineLevel="0" collapsed="false">
      <c r="A46" s="23" t="n">
        <v>2009</v>
      </c>
      <c r="B46" s="23" t="s">
        <v>104</v>
      </c>
      <c r="C46" s="27" t="n">
        <v>690134.4</v>
      </c>
      <c r="D46" s="27" t="n">
        <v>957117.4</v>
      </c>
    </row>
    <row r="47" customFormat="false" ht="15" hidden="false" customHeight="false" outlineLevel="0" collapsed="false">
      <c r="A47" s="23" t="n">
        <v>2009</v>
      </c>
      <c r="B47" s="23" t="s">
        <v>105</v>
      </c>
      <c r="C47" s="27" t="n">
        <v>716074.5</v>
      </c>
      <c r="D47" s="27" t="n">
        <v>971559.4</v>
      </c>
    </row>
    <row r="48" customFormat="false" ht="15" hidden="false" customHeight="false" outlineLevel="0" collapsed="false">
      <c r="A48" s="23" t="n">
        <v>2009</v>
      </c>
      <c r="B48" s="23" t="s">
        <v>106</v>
      </c>
      <c r="C48" s="27" t="n">
        <v>721377.6</v>
      </c>
      <c r="D48" s="27" t="n">
        <v>989320.4</v>
      </c>
    </row>
    <row r="49" customFormat="false" ht="15" hidden="false" customHeight="false" outlineLevel="0" collapsed="false">
      <c r="A49" s="23" t="n">
        <v>2010</v>
      </c>
      <c r="B49" s="23" t="s">
        <v>103</v>
      </c>
      <c r="C49" s="27" t="n">
        <v>715442.1</v>
      </c>
      <c r="D49" s="27" t="n">
        <v>961965.7</v>
      </c>
    </row>
    <row r="50" customFormat="false" ht="15" hidden="false" customHeight="false" outlineLevel="0" collapsed="false">
      <c r="A50" s="23" t="n">
        <v>2010</v>
      </c>
      <c r="B50" s="23" t="s">
        <v>104</v>
      </c>
      <c r="C50" s="27" t="n">
        <v>764970.1</v>
      </c>
      <c r="D50" s="27" t="n">
        <v>988366.9</v>
      </c>
    </row>
    <row r="51" customFormat="false" ht="15" hidden="false" customHeight="false" outlineLevel="0" collapsed="false">
      <c r="A51" s="23" t="n">
        <v>2010</v>
      </c>
      <c r="B51" s="23" t="s">
        <v>105</v>
      </c>
      <c r="C51" s="27" t="n">
        <v>777733</v>
      </c>
      <c r="D51" s="27" t="n">
        <v>1003787.5</v>
      </c>
    </row>
    <row r="52" customFormat="false" ht="15" hidden="false" customHeight="false" outlineLevel="0" collapsed="false">
      <c r="A52" s="23" t="n">
        <v>2010</v>
      </c>
      <c r="B52" s="23" t="s">
        <v>106</v>
      </c>
      <c r="C52" s="27" t="n">
        <v>797467.9</v>
      </c>
      <c r="D52" s="27" t="n">
        <v>1019681.5</v>
      </c>
    </row>
    <row r="53" customFormat="false" ht="15" hidden="false" customHeight="false" outlineLevel="0" collapsed="false">
      <c r="A53" s="23" t="n">
        <v>2011</v>
      </c>
      <c r="B53" s="23" t="s">
        <v>103</v>
      </c>
      <c r="C53" s="27" t="n">
        <v>783165</v>
      </c>
      <c r="D53" s="27" t="n">
        <v>994363.7</v>
      </c>
    </row>
    <row r="54" customFormat="false" ht="15" hidden="false" customHeight="false" outlineLevel="0" collapsed="false">
      <c r="A54" s="23" t="n">
        <v>2011</v>
      </c>
      <c r="B54" s="23" t="s">
        <v>104</v>
      </c>
      <c r="C54" s="27" t="n">
        <v>826405</v>
      </c>
      <c r="D54" s="27" t="n">
        <v>1019292.2</v>
      </c>
    </row>
    <row r="55" customFormat="false" ht="15" hidden="false" customHeight="false" outlineLevel="0" collapsed="false">
      <c r="A55" s="23" t="n">
        <v>2011</v>
      </c>
      <c r="B55" s="23" t="s">
        <v>105</v>
      </c>
      <c r="C55" s="27" t="n">
        <v>848167.3</v>
      </c>
      <c r="D55" s="27" t="n">
        <v>1033942.7</v>
      </c>
    </row>
    <row r="56" customFormat="false" ht="15" hidden="false" customHeight="false" outlineLevel="0" collapsed="false">
      <c r="A56" s="23" t="n">
        <v>2011</v>
      </c>
      <c r="B56" s="23" t="s">
        <v>106</v>
      </c>
      <c r="C56" s="27" t="n">
        <v>869309.8</v>
      </c>
      <c r="D56" s="27" t="n">
        <v>1052115.1</v>
      </c>
    </row>
    <row r="57" customFormat="false" ht="15" hidden="false" customHeight="false" outlineLevel="0" collapsed="false">
      <c r="A57" s="23" t="n">
        <v>2012</v>
      </c>
      <c r="B57" s="23" t="s">
        <v>103</v>
      </c>
      <c r="C57" s="27" t="n">
        <v>847279.8</v>
      </c>
      <c r="D57" s="27" t="n">
        <v>1018376.5</v>
      </c>
    </row>
    <row r="58" customFormat="false" ht="15" hidden="false" customHeight="false" outlineLevel="0" collapsed="false">
      <c r="A58" s="23" t="n">
        <v>2012</v>
      </c>
      <c r="B58" s="23" t="s">
        <v>104</v>
      </c>
      <c r="C58" s="27" t="n">
        <v>892323.7</v>
      </c>
      <c r="D58" s="27" t="n">
        <v>1048866.2</v>
      </c>
    </row>
    <row r="59" customFormat="false" ht="15" hidden="false" customHeight="false" outlineLevel="0" collapsed="false">
      <c r="A59" s="23" t="n">
        <v>2012</v>
      </c>
      <c r="B59" s="23" t="s">
        <v>105</v>
      </c>
      <c r="C59" s="27" t="n">
        <v>903428.4</v>
      </c>
      <c r="D59" s="27" t="n">
        <v>1057278</v>
      </c>
    </row>
    <row r="60" customFormat="false" ht="15" hidden="false" customHeight="false" outlineLevel="0" collapsed="false">
      <c r="A60" s="23" t="n">
        <v>2012</v>
      </c>
      <c r="B60" s="23" t="s">
        <v>106</v>
      </c>
      <c r="C60" s="27" t="n">
        <v>923353.1</v>
      </c>
      <c r="D60" s="27" t="n">
        <v>1073431.7</v>
      </c>
    </row>
    <row r="61" customFormat="false" ht="15" hidden="false" customHeight="false" outlineLevel="0" collapsed="false">
      <c r="A61" s="23" t="n">
        <v>2013</v>
      </c>
      <c r="B61" s="23" t="s">
        <v>103</v>
      </c>
      <c r="C61" s="27" t="n">
        <v>914543.1</v>
      </c>
      <c r="D61" s="27" t="n">
        <v>1038973.3</v>
      </c>
    </row>
    <row r="62" customFormat="false" ht="15" hidden="false" customHeight="false" outlineLevel="0" collapsed="false">
      <c r="A62" s="23" t="n">
        <v>2013</v>
      </c>
      <c r="B62" s="23" t="s">
        <v>104</v>
      </c>
      <c r="C62" s="27" t="n">
        <v>968387.7</v>
      </c>
      <c r="D62" s="27" t="n">
        <v>1073796.9</v>
      </c>
    </row>
    <row r="63" customFormat="false" ht="15" hidden="false" customHeight="false" outlineLevel="0" collapsed="false">
      <c r="A63" s="23" t="n">
        <v>2013</v>
      </c>
      <c r="B63" s="23" t="s">
        <v>105</v>
      </c>
      <c r="C63" s="27" t="n">
        <v>980870.5</v>
      </c>
      <c r="D63" s="27" t="n">
        <v>1083914.1</v>
      </c>
    </row>
    <row r="64" customFormat="false" ht="15" hidden="false" customHeight="false" outlineLevel="0" collapsed="false">
      <c r="A64" s="23" t="n">
        <v>2013</v>
      </c>
      <c r="B64" s="23" t="s">
        <v>106</v>
      </c>
      <c r="C64" s="27" t="n">
        <v>1004829</v>
      </c>
      <c r="D64" s="27" t="n">
        <v>1105606.8</v>
      </c>
    </row>
    <row r="65" customFormat="false" ht="15" hidden="false" customHeight="false" outlineLevel="0" collapsed="false">
      <c r="A65" s="23" t="n">
        <v>2014</v>
      </c>
      <c r="B65" s="23" t="s">
        <v>103</v>
      </c>
      <c r="C65" s="27" t="n">
        <v>991281.8</v>
      </c>
      <c r="D65" s="27" t="n">
        <v>1058056.7</v>
      </c>
    </row>
    <row r="66" customFormat="false" ht="15" hidden="false" customHeight="false" outlineLevel="0" collapsed="false">
      <c r="A66" s="23" t="n">
        <v>2014</v>
      </c>
      <c r="B66" s="23" t="s">
        <v>104</v>
      </c>
      <c r="C66" s="27" t="n">
        <v>1030616.7</v>
      </c>
      <c r="D66" s="27" t="n">
        <v>1088318.1</v>
      </c>
    </row>
    <row r="67" customFormat="false" ht="15" hidden="false" customHeight="false" outlineLevel="0" collapsed="false">
      <c r="A67" s="23" t="n">
        <v>2014</v>
      </c>
      <c r="B67" s="23" t="s">
        <v>105</v>
      </c>
      <c r="C67" s="27" t="n">
        <v>1046828.4</v>
      </c>
      <c r="D67" s="27" t="n">
        <v>1095636</v>
      </c>
    </row>
    <row r="68" customFormat="false" ht="15" hidden="false" customHeight="false" outlineLevel="0" collapsed="false">
      <c r="A68" s="23" t="n">
        <v>2014</v>
      </c>
      <c r="B68" s="23" t="s">
        <v>106</v>
      </c>
      <c r="C68" s="27" t="n">
        <v>1065146.2</v>
      </c>
      <c r="D68" s="27" t="n">
        <v>1121107.4</v>
      </c>
    </row>
    <row r="69" customFormat="false" ht="15" hidden="false" customHeight="false" outlineLevel="0" collapsed="false">
      <c r="A69" s="23" t="n">
        <v>2015</v>
      </c>
      <c r="B69" s="23" t="s">
        <v>103</v>
      </c>
      <c r="C69" s="27" t="n">
        <v>1058149.6</v>
      </c>
      <c r="D69" s="27" t="n">
        <v>1083840.9</v>
      </c>
    </row>
    <row r="70" customFormat="false" ht="15" hidden="false" customHeight="false" outlineLevel="0" collapsed="false">
      <c r="A70" s="23" t="n">
        <v>2015</v>
      </c>
      <c r="B70" s="23" t="s">
        <v>104</v>
      </c>
      <c r="C70" s="27" t="n">
        <v>1106056.5</v>
      </c>
      <c r="D70" s="27" t="n">
        <v>1099417.3</v>
      </c>
    </row>
    <row r="71" customFormat="false" ht="15" hidden="false" customHeight="false" outlineLevel="0" collapsed="false">
      <c r="A71" s="23" t="n">
        <v>2015</v>
      </c>
      <c r="B71" s="23" t="s">
        <v>105</v>
      </c>
      <c r="C71" s="27" t="n">
        <v>1115422.6</v>
      </c>
      <c r="D71" s="27" t="n">
        <v>1107571.9</v>
      </c>
    </row>
    <row r="72" customFormat="false" ht="15" hidden="false" customHeight="false" outlineLevel="0" collapsed="false">
      <c r="A72" s="23" t="n">
        <v>2015</v>
      </c>
      <c r="B72" s="23" t="s">
        <v>106</v>
      </c>
      <c r="C72" s="27" t="n">
        <v>1141163.9</v>
      </c>
      <c r="D72" s="27" t="n">
        <v>1129962.4</v>
      </c>
    </row>
    <row r="73" customFormat="false" ht="15" hidden="false" customHeight="false" outlineLevel="0" collapsed="false">
      <c r="A73" s="23" t="n">
        <v>2016</v>
      </c>
      <c r="B73" s="23" t="s">
        <v>103</v>
      </c>
      <c r="C73" s="27" t="n">
        <v>1136270.4</v>
      </c>
      <c r="D73" s="27" t="n">
        <v>1083940.6</v>
      </c>
    </row>
    <row r="74" customFormat="false" ht="15" hidden="false" customHeight="false" outlineLevel="0" collapsed="false">
      <c r="A74" s="23" t="n">
        <v>2016</v>
      </c>
      <c r="B74" s="23" t="s">
        <v>104</v>
      </c>
      <c r="C74" s="27" t="n">
        <v>1200075.5</v>
      </c>
      <c r="D74" s="27" t="n">
        <v>1113437</v>
      </c>
    </row>
    <row r="75" customFormat="false" ht="15" hidden="false" customHeight="false" outlineLevel="0" collapsed="false">
      <c r="A75" s="23" t="n">
        <v>2016</v>
      </c>
      <c r="B75" s="23" t="s">
        <v>105</v>
      </c>
      <c r="C75" s="27" t="n">
        <v>1204502.6</v>
      </c>
      <c r="D75" s="27" t="n">
        <v>1117489.1</v>
      </c>
    </row>
    <row r="76" customFormat="false" ht="15" hidden="false" customHeight="false" outlineLevel="0" collapsed="false">
      <c r="A76" s="23" t="n">
        <v>2016</v>
      </c>
      <c r="B76" s="23" t="s">
        <v>106</v>
      </c>
      <c r="C76" s="27" t="n">
        <v>1218706</v>
      </c>
      <c r="D76" s="27" t="n">
        <v>1135304.2</v>
      </c>
    </row>
    <row r="77" customFormat="false" ht="15" hidden="false" customHeight="false" outlineLevel="0" collapsed="false">
      <c r="A77" s="23" t="n">
        <v>2017</v>
      </c>
      <c r="B77" s="23" t="s">
        <v>103</v>
      </c>
      <c r="C77" s="27" t="n">
        <v>1207915.8</v>
      </c>
      <c r="D77" s="27" t="n">
        <v>1091113.5</v>
      </c>
    </row>
    <row r="78" customFormat="false" ht="15" hidden="false" customHeight="false" outlineLevel="0" collapsed="false">
      <c r="A78" s="23" t="n">
        <v>2017</v>
      </c>
      <c r="B78" s="23" t="s">
        <v>104</v>
      </c>
      <c r="C78" s="27" t="n">
        <v>1266805.7</v>
      </c>
      <c r="D78" s="27" t="n">
        <v>1125688.3</v>
      </c>
    </row>
    <row r="79" customFormat="false" ht="15" hidden="false" customHeight="false" outlineLevel="0" collapsed="false">
      <c r="A79" s="23" t="n">
        <v>2017</v>
      </c>
      <c r="B79" s="23" t="s">
        <v>105</v>
      </c>
      <c r="C79" s="27" t="n">
        <v>1288602.9</v>
      </c>
      <c r="D79" s="27" t="n">
        <v>1132522.2</v>
      </c>
    </row>
    <row r="80" customFormat="false" ht="15" hidden="false" customHeight="false" outlineLevel="0" collapsed="false">
      <c r="A80" s="23" t="n">
        <v>2017</v>
      </c>
      <c r="B80" s="23" t="s">
        <v>106</v>
      </c>
      <c r="C80" s="27" t="n">
        <v>1314865.5</v>
      </c>
      <c r="D80" s="27" t="n">
        <v>1152377.6</v>
      </c>
    </row>
    <row r="81" customFormat="false" ht="15" hidden="false" customHeight="false" outlineLevel="0" collapsed="false">
      <c r="A81" s="23" t="n">
        <v>2018</v>
      </c>
      <c r="B81" s="23" t="s">
        <v>103</v>
      </c>
      <c r="C81" s="27" t="n">
        <v>1268133</v>
      </c>
      <c r="D81" s="27" t="n">
        <v>1105468.6</v>
      </c>
    </row>
    <row r="82" customFormat="false" ht="15" hidden="false" customHeight="false" outlineLevel="0" collapsed="false">
      <c r="A82" s="23" t="n">
        <v>2018</v>
      </c>
      <c r="B82" s="23" t="s">
        <v>104</v>
      </c>
      <c r="C82" s="27" t="n">
        <v>1334114.4</v>
      </c>
      <c r="D82" s="27" t="n">
        <v>1135491</v>
      </c>
    </row>
    <row r="83" customFormat="false" ht="15" hidden="false" customHeight="false" outlineLevel="0" collapsed="false">
      <c r="A83" s="23" t="n">
        <v>2018</v>
      </c>
      <c r="B83" s="23" t="s">
        <v>105</v>
      </c>
      <c r="C83" s="27" t="n">
        <v>1395360.2</v>
      </c>
      <c r="D83" s="27" t="n">
        <v>1174022</v>
      </c>
    </row>
    <row r="84" customFormat="false" ht="15" hidden="false" customHeight="false" outlineLevel="0" collapsed="false">
      <c r="A84" s="23" t="n">
        <v>2019</v>
      </c>
      <c r="B84" s="23" t="s">
        <v>103</v>
      </c>
      <c r="C84" s="27" t="n">
        <v>1330379.1</v>
      </c>
      <c r="D84" s="27" t="n">
        <v>1110666</v>
      </c>
    </row>
    <row r="85" customFormat="false" ht="15" hidden="false" customHeight="false" outlineLevel="0" collapsed="false">
      <c r="A85" s="23" t="n">
        <v>2019</v>
      </c>
      <c r="B85" s="23" t="s">
        <v>104</v>
      </c>
      <c r="C85" s="27" t="n">
        <v>1404657.5</v>
      </c>
      <c r="D85" s="27" t="n">
        <v>1146154.4</v>
      </c>
    </row>
    <row r="86" customFormat="false" ht="15" hidden="false" customHeight="false" outlineLevel="0" collapsed="false">
      <c r="A86" s="23" t="n">
        <v>2019</v>
      </c>
      <c r="B86" s="23" t="s">
        <v>105</v>
      </c>
      <c r="C86" s="27" t="n">
        <v>1429799.6</v>
      </c>
      <c r="D86" s="27" t="n">
        <v>1157786.2</v>
      </c>
    </row>
    <row r="87" customFormat="false" ht="15" hidden="false" customHeight="false" outlineLevel="0" collapsed="false">
      <c r="A87" s="23" t="n">
        <v>2019</v>
      </c>
      <c r="B87" s="23" t="s">
        <v>106</v>
      </c>
      <c r="C87" s="27" t="n">
        <v>1460370.4</v>
      </c>
      <c r="D87" s="27" t="n">
        <v>1169060.4</v>
      </c>
    </row>
    <row r="88" customFormat="false" ht="15" hidden="false" customHeight="false" outlineLevel="0" collapsed="false">
      <c r="A88" s="23" t="n">
        <v>2020</v>
      </c>
      <c r="B88" s="23" t="s">
        <v>103</v>
      </c>
      <c r="C88" s="27" t="n">
        <v>1414413.5</v>
      </c>
      <c r="D88" s="27" t="n">
        <v>1120570.1</v>
      </c>
    </row>
    <row r="89" customFormat="false" ht="15" hidden="false" customHeight="false" outlineLevel="0" collapsed="false">
      <c r="A89" s="23" t="n">
        <v>2020</v>
      </c>
      <c r="B89" s="23" t="s">
        <v>104</v>
      </c>
      <c r="C89" s="27" t="n">
        <v>1222428.2</v>
      </c>
      <c r="D89" s="27" t="n">
        <v>958002.6</v>
      </c>
    </row>
    <row r="90" customFormat="false" ht="15" hidden="false" customHeight="false" outlineLevel="0" collapsed="false">
      <c r="A90" s="23" t="n">
        <v>2020</v>
      </c>
      <c r="B90" s="23" t="s">
        <v>105</v>
      </c>
      <c r="C90" s="27" t="n">
        <v>1418376.8</v>
      </c>
      <c r="D90" s="27" t="n">
        <v>1092987.5</v>
      </c>
    </row>
    <row r="91" customFormat="false" ht="15" hidden="false" customHeight="false" outlineLevel="0" collapsed="false">
      <c r="A91" s="23" t="n">
        <v>2020</v>
      </c>
      <c r="B91" s="23" t="s">
        <v>106</v>
      </c>
      <c r="C91" s="27" t="n">
        <v>1507541.9</v>
      </c>
      <c r="D91" s="27" t="n">
        <v>1129344.2</v>
      </c>
    </row>
    <row r="92" customFormat="false" ht="15" hidden="false" customHeight="false" outlineLevel="0" collapsed="false">
      <c r="A92" s="23" t="n">
        <v>2021</v>
      </c>
      <c r="B92" s="23" t="s">
        <v>103</v>
      </c>
      <c r="C92" s="27" t="n">
        <v>1465351.4</v>
      </c>
      <c r="D92" s="27" t="n">
        <v>1095162.4</v>
      </c>
    </row>
    <row r="93" customFormat="false" ht="15" hidden="false" customHeight="false" outlineLevel="0" collapsed="false">
      <c r="A93" s="23" t="n">
        <v>2021</v>
      </c>
      <c r="B93" s="23" t="s">
        <v>104</v>
      </c>
      <c r="C93" s="27" t="n">
        <v>1580526.5</v>
      </c>
      <c r="D93" s="27" t="n">
        <v>1142205.7</v>
      </c>
    </row>
    <row r="94" customFormat="false" ht="15" hidden="false" customHeight="false" outlineLevel="0" collapsed="false">
      <c r="A94" s="23" t="n">
        <v>2021</v>
      </c>
      <c r="B94" s="23" t="s">
        <v>105</v>
      </c>
      <c r="C94" s="27" t="n">
        <v>1556563.8</v>
      </c>
      <c r="D94" s="27" t="n">
        <v>1123926.8</v>
      </c>
    </row>
    <row r="95" customFormat="false" ht="15" hidden="false" customHeight="false" outlineLevel="0" collapsed="false">
      <c r="A95" s="23" t="n">
        <v>2021</v>
      </c>
      <c r="B95" s="23" t="s">
        <v>106</v>
      </c>
      <c r="C95" s="27" t="n">
        <v>1604400.4</v>
      </c>
      <c r="D95" s="27" t="n">
        <v>1148575.3</v>
      </c>
    </row>
    <row r="96" customFormat="false" ht="15" hidden="false" customHeight="false" outlineLevel="0" collapsed="false">
      <c r="A96" s="23" t="n">
        <v>2022</v>
      </c>
      <c r="B96" s="23" t="s">
        <v>103</v>
      </c>
      <c r="C96" s="27" t="n">
        <v>1577209.7</v>
      </c>
      <c r="D96" s="27" t="n">
        <v>1124599.1</v>
      </c>
    </row>
    <row r="97" customFormat="false" ht="15" hidden="false" customHeight="false" outlineLevel="0" collapsed="false">
      <c r="A97" s="23" t="n">
        <v>2022</v>
      </c>
      <c r="B97" s="23" t="s">
        <v>104</v>
      </c>
      <c r="C97" s="27" t="n">
        <v>1678282.5</v>
      </c>
      <c r="D97" s="27" t="n">
        <v>1146512.4</v>
      </c>
    </row>
    <row r="98" customFormat="false" ht="15" hidden="false" customHeight="false" outlineLevel="0" collapsed="false">
      <c r="A98" s="23" t="n">
        <v>2022</v>
      </c>
      <c r="B98" s="23" t="s">
        <v>105</v>
      </c>
      <c r="C98" s="27" t="n">
        <v>1704360.9</v>
      </c>
      <c r="D98" s="27" t="n">
        <v>1174126.5</v>
      </c>
    </row>
    <row r="99" customFormat="false" ht="15" hidden="false" customHeight="false" outlineLevel="0" collapsed="false">
      <c r="A99" s="23" t="n">
        <v>2022</v>
      </c>
      <c r="B99" s="23" t="s">
        <v>106</v>
      </c>
      <c r="C99" s="27" t="n">
        <v>1706727.8</v>
      </c>
      <c r="D99" s="27" t="n">
        <v>1157451.5</v>
      </c>
    </row>
    <row r="100" customFormat="false" ht="15" hidden="false" customHeight="false" outlineLevel="0" collapsed="false">
      <c r="A100" s="23" t="n">
        <v>2023</v>
      </c>
      <c r="B100" s="23" t="s">
        <v>103</v>
      </c>
      <c r="C100" s="27" t="n">
        <v>1678818.1</v>
      </c>
      <c r="D100" s="27" t="n">
        <v>1130274.4</v>
      </c>
    </row>
    <row r="101" customFormat="false" ht="15" hidden="false" customHeight="false" outlineLevel="0" collapsed="false">
      <c r="A101" s="23" t="n">
        <v>2023</v>
      </c>
      <c r="B101" s="23" t="s">
        <v>104</v>
      </c>
      <c r="C101" s="27" t="n">
        <v>1760747.2</v>
      </c>
      <c r="D101" s="27" t="n">
        <v>1168872.8</v>
      </c>
    </row>
    <row r="102" customFormat="false" ht="15" hidden="false" customHeight="false" outlineLevel="0" collapsed="false">
      <c r="A102" s="23" t="n">
        <v>2023</v>
      </c>
      <c r="B102" s="23" t="s">
        <v>105</v>
      </c>
      <c r="C102" s="27" t="n">
        <v>1775888.9</v>
      </c>
      <c r="D102" s="27" t="n">
        <v>1164550.8</v>
      </c>
    </row>
    <row r="103" customFormat="false" ht="15" hidden="false" customHeight="false" outlineLevel="0" collapsed="false">
      <c r="A103" s="23" t="n">
        <v>2023</v>
      </c>
      <c r="B103" s="23" t="s">
        <v>106</v>
      </c>
      <c r="C103" s="27" t="n">
        <v>1822220.2</v>
      </c>
      <c r="D103" s="27" t="n">
        <v>1176094</v>
      </c>
    </row>
    <row r="104" customFormat="false" ht="15" hidden="false" customHeight="false" outlineLevel="0" collapsed="false">
      <c r="A104" s="23" t="n">
        <v>2024</v>
      </c>
      <c r="B104" s="23" t="s">
        <v>103</v>
      </c>
      <c r="C104" s="27" t="n">
        <v>1755512.7</v>
      </c>
      <c r="D104" s="27" t="n">
        <v>1136295.2</v>
      </c>
    </row>
    <row r="105" customFormat="false" ht="15" hidden="false" customHeight="false" outlineLevel="0" collapsed="false">
      <c r="A105" s="23" t="n">
        <v>2024</v>
      </c>
      <c r="B105" s="23" t="s">
        <v>104</v>
      </c>
      <c r="C105" s="27" t="n">
        <v>1849720.6</v>
      </c>
      <c r="D105" s="27" t="n">
        <v>1173335.9</v>
      </c>
    </row>
    <row r="106" customFormat="false" ht="15" hidden="false" customHeight="false" outlineLevel="0" collapsed="false">
      <c r="A106" s="23" t="n">
        <v>2024</v>
      </c>
      <c r="B106" s="23" t="s">
        <v>105</v>
      </c>
      <c r="C106" s="27" t="n">
        <v>1847045.7</v>
      </c>
      <c r="D106" s="27" t="n">
        <v>1169537.2</v>
      </c>
    </row>
    <row r="107" customFormat="false" ht="15" hidden="false" customHeight="false" outlineLevel="0" collapsed="false">
      <c r="A107" s="23" t="n">
        <v>2024</v>
      </c>
      <c r="B107" s="23" t="s">
        <v>106</v>
      </c>
      <c r="C107" s="27" t="n">
        <v>1900170.5</v>
      </c>
      <c r="D107" s="27" t="n">
        <v>1185439.4</v>
      </c>
    </row>
    <row r="108" customFormat="false" ht="15" hidden="false" customHeight="false" outlineLevel="0" collapsed="false">
      <c r="A108" s="23" t="n">
        <v>2025</v>
      </c>
      <c r="B108" s="23" t="s">
        <v>103</v>
      </c>
      <c r="C108" s="27" t="n">
        <v>1799075.3</v>
      </c>
      <c r="D108" s="27" t="n">
        <v>1146022.5</v>
      </c>
    </row>
    <row r="109" customFormat="false" ht="15" hidden="false" customHeight="false" outlineLevel="0" collapsed="false">
      <c r="A109" s="23" t="n">
        <v>2025</v>
      </c>
      <c r="B109" s="23" t="s">
        <v>104</v>
      </c>
      <c r="C109" s="27" t="n">
        <v>1900275.1</v>
      </c>
      <c r="D109" s="27" t="n">
        <v>1181733.6</v>
      </c>
    </row>
    <row r="110" customFormat="false" ht="15" hidden="false" customHeight="false" outlineLevel="0" collapsed="false">
      <c r="A110" s="23" t="n">
        <v>2025</v>
      </c>
      <c r="B110" s="23" t="s">
        <v>105</v>
      </c>
      <c r="C110" s="27" t="n">
        <v>1938470.5</v>
      </c>
      <c r="D110" s="27" t="n">
        <v>1193581.1</v>
      </c>
    </row>
    <row r="111" customFormat="false" ht="15" hidden="false" customHeight="false" outlineLevel="0" collapsed="false">
      <c r="A111" s="23" t="n">
        <v>2025</v>
      </c>
      <c r="B111" s="23" t="s">
        <v>106</v>
      </c>
      <c r="C111" s="27" t="n">
        <v>2003972.3</v>
      </c>
      <c r="D111" s="27" t="n">
        <v>1195263.4</v>
      </c>
    </row>
    <row r="112" customFormat="false" ht="15" hidden="false" customHeight="false" outlineLevel="0" collapsed="false">
      <c r="A112" s="23" t="n">
        <v>2026</v>
      </c>
      <c r="B112" s="23" t="s">
        <v>103</v>
      </c>
      <c r="C112" s="27" t="n">
        <v>1938242.7</v>
      </c>
      <c r="D112" s="27" t="n">
        <v>1167288.2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30"/>
  </cols>
  <sheetData>
    <row r="1" customFormat="false" ht="15" hidden="false" customHeight="false" outlineLevel="0" collapsed="false">
      <c r="A1" s="21" t="s">
        <v>107</v>
      </c>
      <c r="B1" s="21"/>
      <c r="C1" s="21"/>
      <c r="D1" s="21"/>
    </row>
    <row r="3" customFormat="false" ht="23.85" hidden="false" customHeight="false" outlineLevel="0" collapsed="false">
      <c r="A3" s="22" t="s">
        <v>2</v>
      </c>
      <c r="B3" s="22" t="s">
        <v>108</v>
      </c>
      <c r="C3" s="22" t="s">
        <v>109</v>
      </c>
      <c r="D3" s="22" t="s">
        <v>78</v>
      </c>
    </row>
    <row r="4" customFormat="false" ht="15" hidden="false" customHeight="false" outlineLevel="0" collapsed="false">
      <c r="A4" s="23" t="n">
        <v>1999</v>
      </c>
      <c r="B4" s="23" t="n">
        <f aca="false">MarketCap_Monthly!C15</f>
        <v>1616207</v>
      </c>
      <c r="C4" s="23" t="s">
        <v>110</v>
      </c>
    </row>
    <row r="5" customFormat="false" ht="15" hidden="false" customHeight="false" outlineLevel="0" collapsed="false">
      <c r="A5" s="23" t="n">
        <v>2000</v>
      </c>
      <c r="B5" s="23" t="n">
        <f aca="false">MarketCap_Monthly!C27</f>
        <v>1551489</v>
      </c>
      <c r="C5" s="23" t="s">
        <v>110</v>
      </c>
    </row>
    <row r="6" customFormat="false" ht="15" hidden="false" customHeight="false" outlineLevel="0" collapsed="false">
      <c r="A6" s="23" t="n">
        <v>2001</v>
      </c>
      <c r="B6" s="23" t="n">
        <f aca="false">MarketCap_Monthly!C39</f>
        <v>1770682</v>
      </c>
      <c r="C6" s="23" t="s">
        <v>110</v>
      </c>
    </row>
    <row r="7" customFormat="false" ht="15" hidden="false" customHeight="false" outlineLevel="0" collapsed="false">
      <c r="A7" s="23" t="n">
        <v>2002</v>
      </c>
      <c r="B7" s="23" t="n">
        <f aca="false">MarketCap_Monthly!C51</f>
        <v>1584151</v>
      </c>
      <c r="C7" s="23" t="s">
        <v>110</v>
      </c>
    </row>
    <row r="8" customFormat="false" ht="15" hidden="false" customHeight="false" outlineLevel="0" collapsed="false">
      <c r="A8" s="23" t="n">
        <v>2003</v>
      </c>
      <c r="B8" s="23" t="n">
        <f aca="false">MarketCap_Monthly!C63</f>
        <v>1787194</v>
      </c>
      <c r="C8" s="23" t="s">
        <v>110</v>
      </c>
    </row>
    <row r="9" customFormat="false" ht="15" hidden="false" customHeight="false" outlineLevel="0" collapsed="false">
      <c r="A9" s="23" t="n">
        <v>2004</v>
      </c>
      <c r="B9" s="23" t="n">
        <f aca="false">MarketCap_Monthly!C75</f>
        <v>2566352</v>
      </c>
      <c r="C9" s="23" t="s">
        <v>110</v>
      </c>
    </row>
    <row r="10" customFormat="false" ht="15" hidden="false" customHeight="false" outlineLevel="0" collapsed="false">
      <c r="A10" s="23" t="n">
        <v>2005</v>
      </c>
      <c r="B10" s="23" t="n">
        <f aca="false">MarketCap_Monthly!C87</f>
        <v>3586112</v>
      </c>
      <c r="C10" s="23" t="s">
        <v>110</v>
      </c>
    </row>
    <row r="11" customFormat="false" ht="15" hidden="false" customHeight="false" outlineLevel="0" collapsed="false">
      <c r="A11" s="23" t="n">
        <v>2006</v>
      </c>
      <c r="B11" s="23" t="n">
        <f aca="false">MarketCap_Monthly!C99</f>
        <v>5041515</v>
      </c>
      <c r="C11" s="23" t="s">
        <v>110</v>
      </c>
    </row>
    <row r="12" customFormat="false" ht="15" hidden="false" customHeight="false" outlineLevel="0" collapsed="false">
      <c r="A12" s="23" t="n">
        <v>2007</v>
      </c>
      <c r="B12" s="23" t="n">
        <f aca="false">MarketCap_Monthly!C111</f>
        <v>5696829</v>
      </c>
      <c r="C12" s="23" t="s">
        <v>110</v>
      </c>
    </row>
    <row r="13" customFormat="false" ht="15" hidden="false" customHeight="false" outlineLevel="0" collapsed="false">
      <c r="A13" s="23" t="n">
        <v>2008</v>
      </c>
      <c r="B13" s="23" t="n">
        <f aca="false">MarketCap_Monthly!C123</f>
        <v>4541938</v>
      </c>
      <c r="C13" s="23" t="s">
        <v>110</v>
      </c>
    </row>
    <row r="14" customFormat="false" ht="15" hidden="false" customHeight="false" outlineLevel="0" collapsed="false">
      <c r="A14" s="23" t="n">
        <v>2009</v>
      </c>
      <c r="B14" s="23" t="n">
        <f aca="false">MarketCap_Monthly!C135</f>
        <v>5929063</v>
      </c>
      <c r="C14" s="23" t="s">
        <v>110</v>
      </c>
    </row>
    <row r="15" customFormat="false" ht="15" hidden="false" customHeight="false" outlineLevel="0" collapsed="false">
      <c r="A15" s="23" t="n">
        <v>2010</v>
      </c>
      <c r="B15" s="23" t="n">
        <f aca="false">MarketCap_Monthly!C147</f>
        <v>6698700</v>
      </c>
      <c r="C15" s="23" t="s">
        <v>110</v>
      </c>
    </row>
    <row r="16" customFormat="false" ht="15" hidden="false" customHeight="false" outlineLevel="0" collapsed="false">
      <c r="A16" s="23" t="n">
        <v>2011</v>
      </c>
      <c r="B16" s="23" t="n">
        <f aca="false">MarketCap_Monthly!C159</f>
        <v>6908507</v>
      </c>
      <c r="C16" s="23" t="s">
        <v>110</v>
      </c>
    </row>
    <row r="17" customFormat="false" ht="15" hidden="false" customHeight="false" outlineLevel="0" collapsed="false">
      <c r="A17" s="23" t="n">
        <v>2012</v>
      </c>
      <c r="B17" s="23" t="n">
        <f aca="false">MarketCap_Monthly!C171</f>
        <v>8383564</v>
      </c>
      <c r="C17" s="23" t="s">
        <v>110</v>
      </c>
    </row>
    <row r="18" customFormat="false" ht="15" hidden="false" customHeight="false" outlineLevel="0" collapsed="false">
      <c r="A18" s="23" t="n">
        <v>2013</v>
      </c>
      <c r="B18" s="23" t="n">
        <f aca="false">MarketCap_Monthly!C183</f>
        <v>10626244</v>
      </c>
      <c r="C18" s="23" t="s">
        <v>110</v>
      </c>
    </row>
    <row r="19" customFormat="false" ht="15" hidden="false" customHeight="false" outlineLevel="0" collapsed="false">
      <c r="A19" s="23" t="n">
        <v>2014</v>
      </c>
      <c r="B19" s="23" t="n">
        <f aca="false">MarketCap_Monthly!C195</f>
        <v>11505020</v>
      </c>
      <c r="C19" s="23" t="s">
        <v>110</v>
      </c>
    </row>
    <row r="20" customFormat="false" ht="15" hidden="false" customHeight="false" outlineLevel="0" collapsed="false">
      <c r="A20" s="23" t="n">
        <v>2015</v>
      </c>
      <c r="B20" s="23" t="n">
        <f aca="false">MarketCap_Monthly!C207</f>
        <v>11727560</v>
      </c>
      <c r="C20" s="23" t="s">
        <v>110</v>
      </c>
    </row>
    <row r="21" customFormat="false" ht="15" hidden="false" customHeight="false" outlineLevel="0" collapsed="false">
      <c r="A21" s="23" t="n">
        <v>2016</v>
      </c>
      <c r="B21" s="23" t="n">
        <f aca="false">MarketCap_Monthly!C219</f>
        <v>13580619</v>
      </c>
      <c r="C21" s="23" t="s">
        <v>110</v>
      </c>
    </row>
    <row r="22" customFormat="false" ht="15" hidden="false" customHeight="false" outlineLevel="0" collapsed="false">
      <c r="A22" s="23" t="n">
        <v>2017</v>
      </c>
      <c r="B22" s="23" t="n">
        <f aca="false">MarketCap_Monthly!C231</f>
        <v>15467873</v>
      </c>
      <c r="C22" s="23" t="s">
        <v>110</v>
      </c>
    </row>
    <row r="23" customFormat="false" ht="15" hidden="false" customHeight="false" outlineLevel="0" collapsed="false">
      <c r="A23" s="23" t="n">
        <v>2018</v>
      </c>
      <c r="B23" s="23" t="n">
        <f aca="false">MarketCap_Monthly!C243</f>
        <v>12701949</v>
      </c>
      <c r="C23" s="23" t="s">
        <v>110</v>
      </c>
    </row>
    <row r="24" customFormat="false" ht="15" hidden="false" customHeight="false" outlineLevel="0" collapsed="false">
      <c r="A24" s="23" t="n">
        <v>2019</v>
      </c>
      <c r="B24" s="23" t="n">
        <f aca="false">MarketCap_Monthly!C255</f>
        <v>17459094</v>
      </c>
      <c r="C24" s="23" t="s">
        <v>110</v>
      </c>
    </row>
    <row r="25" customFormat="false" ht="15" hidden="false" customHeight="false" outlineLevel="0" collapsed="false">
      <c r="A25" s="23" t="n">
        <v>2020</v>
      </c>
      <c r="B25" s="23" t="n">
        <f aca="false">MarketCap_Monthly!C267</f>
        <v>17874362</v>
      </c>
      <c r="C25" s="23" t="s">
        <v>110</v>
      </c>
    </row>
    <row r="26" customFormat="false" ht="15" hidden="false" customHeight="false" outlineLevel="0" collapsed="false">
      <c r="A26" s="23" t="n">
        <v>2021</v>
      </c>
      <c r="B26" s="23" t="n">
        <f aca="false">MarketCap_Monthly!C279</f>
        <v>20520438</v>
      </c>
      <c r="C26" s="23" t="s">
        <v>110</v>
      </c>
    </row>
    <row r="27" customFormat="false" ht="15" hidden="false" customHeight="false" outlineLevel="0" collapsed="false">
      <c r="A27" s="23" t="n">
        <v>2022</v>
      </c>
      <c r="B27" s="23" t="n">
        <f aca="false">MarketCap_Monthly!C291</f>
        <v>21356714</v>
      </c>
      <c r="C27" s="23" t="s">
        <v>110</v>
      </c>
    </row>
    <row r="28" customFormat="false" ht="15" hidden="false" customHeight="false" outlineLevel="0" collapsed="false">
      <c r="A28" s="23" t="n">
        <v>2023</v>
      </c>
      <c r="B28" s="23" t="n">
        <f aca="false">MarketCap_Monthly!C303</f>
        <v>19023628</v>
      </c>
      <c r="C28" s="23" t="s">
        <v>110</v>
      </c>
    </row>
    <row r="29" customFormat="false" ht="15" hidden="false" customHeight="false" outlineLevel="0" collapsed="false">
      <c r="A29" s="23" t="n">
        <v>2024</v>
      </c>
      <c r="B29" s="23" t="n">
        <f aca="false">MarketCap_Monthly!C315</f>
        <v>19239200</v>
      </c>
      <c r="C29" s="23" t="s">
        <v>110</v>
      </c>
    </row>
    <row r="30" customFormat="false" ht="15" hidden="false" customHeight="false" outlineLevel="0" collapsed="false">
      <c r="A30" s="23" t="n">
        <v>2025</v>
      </c>
      <c r="B30" s="23" t="n">
        <f aca="false">MarketCap_Monthly!C327</f>
        <v>24187552</v>
      </c>
      <c r="C30" s="23" t="s">
        <v>110</v>
      </c>
    </row>
    <row r="31" customFormat="false" ht="15" hidden="false" customHeight="false" outlineLevel="0" collapsed="false">
      <c r="A31" s="24" t="n">
        <v>2026</v>
      </c>
      <c r="B31" s="24" t="n">
        <f aca="false">AVERAGE(MarketCap_Monthly!C328:C332)</f>
        <v>24713587.2</v>
      </c>
      <c r="C31" s="24" t="s">
        <v>111</v>
      </c>
      <c r="D31" s="25" t="s">
        <v>112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28"/>
  </cols>
  <sheetData>
    <row r="1" customFormat="false" ht="15" hidden="false" customHeight="false" outlineLevel="0" collapsed="false">
      <c r="A1" s="21" t="s">
        <v>113</v>
      </c>
      <c r="B1" s="21"/>
      <c r="C1" s="21"/>
    </row>
    <row r="3" customFormat="false" ht="15" hidden="false" customHeight="false" outlineLevel="0" collapsed="false">
      <c r="A3" s="26" t="s">
        <v>2</v>
      </c>
      <c r="B3" s="26" t="s">
        <v>81</v>
      </c>
      <c r="C3" s="26" t="s">
        <v>108</v>
      </c>
    </row>
    <row r="4" customFormat="false" ht="15" hidden="false" customHeight="false" outlineLevel="0" collapsed="false">
      <c r="A4" s="23" t="n">
        <v>1999</v>
      </c>
      <c r="B4" s="23" t="s">
        <v>83</v>
      </c>
      <c r="C4" s="27" t="n">
        <v>1067747</v>
      </c>
    </row>
    <row r="5" customFormat="false" ht="15" hidden="false" customHeight="false" outlineLevel="0" collapsed="false">
      <c r="A5" s="23" t="n">
        <v>1999</v>
      </c>
      <c r="B5" s="23" t="s">
        <v>84</v>
      </c>
      <c r="C5" s="27" t="n">
        <v>1090936</v>
      </c>
    </row>
    <row r="6" customFormat="false" ht="15" hidden="false" customHeight="false" outlineLevel="0" collapsed="false">
      <c r="A6" s="23" t="n">
        <v>1999</v>
      </c>
      <c r="B6" s="23" t="s">
        <v>85</v>
      </c>
      <c r="C6" s="27" t="n">
        <v>1188083</v>
      </c>
    </row>
    <row r="7" customFormat="false" ht="15" hidden="false" customHeight="false" outlineLevel="0" collapsed="false">
      <c r="A7" s="23" t="n">
        <v>1999</v>
      </c>
      <c r="B7" s="23" t="s">
        <v>86</v>
      </c>
      <c r="C7" s="27" t="n">
        <v>1318940</v>
      </c>
    </row>
    <row r="8" customFormat="false" ht="15" hidden="false" customHeight="false" outlineLevel="0" collapsed="false">
      <c r="A8" s="23" t="n">
        <v>1999</v>
      </c>
      <c r="B8" s="23" t="s">
        <v>87</v>
      </c>
      <c r="C8" s="27" t="n">
        <v>1208849</v>
      </c>
    </row>
    <row r="9" customFormat="false" ht="15" hidden="false" customHeight="false" outlineLevel="0" collapsed="false">
      <c r="A9" s="23" t="n">
        <v>1999</v>
      </c>
      <c r="B9" s="23" t="s">
        <v>88</v>
      </c>
      <c r="C9" s="27" t="n">
        <v>1317575</v>
      </c>
    </row>
    <row r="10" customFormat="false" ht="15" hidden="false" customHeight="false" outlineLevel="0" collapsed="false">
      <c r="A10" s="23" t="n">
        <v>1999</v>
      </c>
      <c r="B10" s="23" t="s">
        <v>89</v>
      </c>
      <c r="C10" s="27" t="n">
        <v>1366622</v>
      </c>
    </row>
    <row r="11" customFormat="false" ht="15" hidden="false" customHeight="false" outlineLevel="0" collapsed="false">
      <c r="A11" s="23" t="n">
        <v>1999</v>
      </c>
      <c r="B11" s="23" t="s">
        <v>90</v>
      </c>
      <c r="C11" s="27" t="n">
        <v>1336666</v>
      </c>
    </row>
    <row r="12" customFormat="false" ht="15" hidden="false" customHeight="false" outlineLevel="0" collapsed="false">
      <c r="A12" s="23" t="n">
        <v>1999</v>
      </c>
      <c r="B12" s="23" t="s">
        <v>91</v>
      </c>
      <c r="C12" s="27" t="n">
        <v>1304210</v>
      </c>
    </row>
    <row r="13" customFormat="false" ht="15" hidden="false" customHeight="false" outlineLevel="0" collapsed="false">
      <c r="A13" s="23" t="n">
        <v>1999</v>
      </c>
      <c r="B13" s="23" t="s">
        <v>92</v>
      </c>
      <c r="C13" s="27" t="n">
        <v>1364059</v>
      </c>
    </row>
    <row r="14" customFormat="false" ht="15" hidden="false" customHeight="false" outlineLevel="0" collapsed="false">
      <c r="A14" s="23" t="n">
        <v>1999</v>
      </c>
      <c r="B14" s="23" t="s">
        <v>93</v>
      </c>
      <c r="C14" s="27" t="n">
        <v>1442156</v>
      </c>
    </row>
    <row r="15" customFormat="false" ht="15" hidden="false" customHeight="false" outlineLevel="0" collapsed="false">
      <c r="A15" s="23" t="n">
        <v>1999</v>
      </c>
      <c r="B15" s="23" t="s">
        <v>94</v>
      </c>
      <c r="C15" s="27" t="n">
        <v>1616207</v>
      </c>
    </row>
    <row r="16" customFormat="false" ht="15" hidden="false" customHeight="false" outlineLevel="0" collapsed="false">
      <c r="A16" s="23" t="n">
        <v>2000</v>
      </c>
      <c r="B16" s="23" t="s">
        <v>83</v>
      </c>
      <c r="C16" s="27" t="n">
        <v>1604927</v>
      </c>
    </row>
    <row r="17" customFormat="false" ht="15" hidden="false" customHeight="false" outlineLevel="0" collapsed="false">
      <c r="A17" s="23" t="n">
        <v>2000</v>
      </c>
      <c r="B17" s="23" t="s">
        <v>84</v>
      </c>
      <c r="C17" s="27" t="n">
        <v>1530991</v>
      </c>
    </row>
    <row r="18" customFormat="false" ht="15" hidden="false" customHeight="false" outlineLevel="0" collapsed="false">
      <c r="A18" s="23" t="n">
        <v>2000</v>
      </c>
      <c r="B18" s="23" t="s">
        <v>85</v>
      </c>
      <c r="C18" s="27" t="n">
        <v>1511354</v>
      </c>
    </row>
    <row r="19" customFormat="false" ht="15" hidden="false" customHeight="false" outlineLevel="0" collapsed="false">
      <c r="A19" s="23" t="n">
        <v>2000</v>
      </c>
      <c r="B19" s="23" t="s">
        <v>86</v>
      </c>
      <c r="C19" s="27" t="n">
        <v>1415118</v>
      </c>
    </row>
    <row r="20" customFormat="false" ht="15" hidden="false" customHeight="false" outlineLevel="0" collapsed="false">
      <c r="A20" s="23" t="n">
        <v>2000</v>
      </c>
      <c r="B20" s="23" t="s">
        <v>87</v>
      </c>
      <c r="C20" s="27" t="n">
        <v>1389220</v>
      </c>
    </row>
    <row r="21" customFormat="false" ht="15" hidden="false" customHeight="false" outlineLevel="0" collapsed="false">
      <c r="A21" s="23" t="n">
        <v>2000</v>
      </c>
      <c r="B21" s="23" t="s">
        <v>88</v>
      </c>
      <c r="C21" s="27" t="n">
        <v>1460933</v>
      </c>
    </row>
    <row r="22" customFormat="false" ht="15" hidden="false" customHeight="false" outlineLevel="0" collapsed="false">
      <c r="A22" s="23" t="n">
        <v>2000</v>
      </c>
      <c r="B22" s="23" t="s">
        <v>89</v>
      </c>
      <c r="C22" s="27" t="n">
        <v>1480853</v>
      </c>
    </row>
    <row r="23" customFormat="false" ht="15" hidden="false" customHeight="false" outlineLevel="0" collapsed="false">
      <c r="A23" s="23" t="n">
        <v>2000</v>
      </c>
      <c r="B23" s="23" t="s">
        <v>90</v>
      </c>
      <c r="C23" s="27" t="n">
        <v>1623858</v>
      </c>
    </row>
    <row r="24" customFormat="false" ht="15" hidden="false" customHeight="false" outlineLevel="0" collapsed="false">
      <c r="A24" s="23" t="n">
        <v>2000</v>
      </c>
      <c r="B24" s="23" t="s">
        <v>91</v>
      </c>
      <c r="C24" s="27" t="n">
        <v>1561237</v>
      </c>
    </row>
    <row r="25" customFormat="false" ht="15" hidden="false" customHeight="false" outlineLevel="0" collapsed="false">
      <c r="A25" s="23" t="n">
        <v>2000</v>
      </c>
      <c r="B25" s="23" t="s">
        <v>92</v>
      </c>
      <c r="C25" s="27" t="n">
        <v>1524350</v>
      </c>
    </row>
    <row r="26" customFormat="false" ht="15" hidden="false" customHeight="false" outlineLevel="0" collapsed="false">
      <c r="A26" s="23" t="n">
        <v>2000</v>
      </c>
      <c r="B26" s="23" t="s">
        <v>93</v>
      </c>
      <c r="C26" s="27" t="n">
        <v>1463224</v>
      </c>
    </row>
    <row r="27" customFormat="false" ht="15" hidden="false" customHeight="false" outlineLevel="0" collapsed="false">
      <c r="A27" s="23" t="n">
        <v>2000</v>
      </c>
      <c r="B27" s="23" t="s">
        <v>94</v>
      </c>
      <c r="C27" s="27" t="n">
        <v>1551489</v>
      </c>
    </row>
    <row r="28" customFormat="false" ht="15" hidden="false" customHeight="false" outlineLevel="0" collapsed="false">
      <c r="A28" s="23" t="n">
        <v>2001</v>
      </c>
      <c r="B28" s="23" t="s">
        <v>83</v>
      </c>
      <c r="C28" s="27" t="n">
        <v>1704439</v>
      </c>
    </row>
    <row r="29" customFormat="false" ht="15" hidden="false" customHeight="false" outlineLevel="0" collapsed="false">
      <c r="A29" s="23" t="n">
        <v>2001</v>
      </c>
      <c r="B29" s="23" t="s">
        <v>84</v>
      </c>
      <c r="C29" s="27" t="n">
        <v>1694525</v>
      </c>
    </row>
    <row r="30" customFormat="false" ht="15" hidden="false" customHeight="false" outlineLevel="0" collapsed="false">
      <c r="A30" s="23" t="n">
        <v>2001</v>
      </c>
      <c r="B30" s="23" t="s">
        <v>85</v>
      </c>
      <c r="C30" s="27" t="n">
        <v>1534339</v>
      </c>
    </row>
    <row r="31" customFormat="false" ht="15" hidden="false" customHeight="false" outlineLevel="0" collapsed="false">
      <c r="A31" s="23" t="n">
        <v>2001</v>
      </c>
      <c r="B31" s="23" t="s">
        <v>86</v>
      </c>
      <c r="C31" s="27" t="n">
        <v>1680919</v>
      </c>
    </row>
    <row r="32" customFormat="false" ht="15" hidden="false" customHeight="false" outlineLevel="0" collapsed="false">
      <c r="A32" s="23" t="n">
        <v>2001</v>
      </c>
      <c r="B32" s="23" t="s">
        <v>87</v>
      </c>
      <c r="C32" s="27" t="n">
        <v>1764622</v>
      </c>
    </row>
    <row r="33" customFormat="false" ht="15" hidden="false" customHeight="false" outlineLevel="0" collapsed="false">
      <c r="A33" s="23" t="n">
        <v>2001</v>
      </c>
      <c r="B33" s="23" t="s">
        <v>88</v>
      </c>
      <c r="C33" s="27" t="n">
        <v>1571360</v>
      </c>
    </row>
    <row r="34" customFormat="false" ht="15" hidden="false" customHeight="false" outlineLevel="0" collapsed="false">
      <c r="A34" s="23" t="n">
        <v>2001</v>
      </c>
      <c r="B34" s="23" t="s">
        <v>89</v>
      </c>
      <c r="C34" s="27" t="n">
        <v>1448008</v>
      </c>
    </row>
    <row r="35" customFormat="false" ht="15" hidden="false" customHeight="false" outlineLevel="0" collapsed="false">
      <c r="A35" s="23" t="n">
        <v>2001</v>
      </c>
      <c r="B35" s="23" t="s">
        <v>90</v>
      </c>
      <c r="C35" s="27" t="n">
        <v>1521271</v>
      </c>
    </row>
    <row r="36" customFormat="false" ht="15" hidden="false" customHeight="false" outlineLevel="0" collapsed="false">
      <c r="A36" s="23" t="n">
        <v>2001</v>
      </c>
      <c r="B36" s="23" t="s">
        <v>91</v>
      </c>
      <c r="C36" s="27" t="n">
        <v>1379517</v>
      </c>
    </row>
    <row r="37" customFormat="false" ht="15" hidden="false" customHeight="false" outlineLevel="0" collapsed="false">
      <c r="A37" s="23" t="n">
        <v>2001</v>
      </c>
      <c r="B37" s="23" t="s">
        <v>92</v>
      </c>
      <c r="C37" s="27" t="n">
        <v>1442181</v>
      </c>
    </row>
    <row r="38" customFormat="false" ht="15" hidden="false" customHeight="false" outlineLevel="0" collapsed="false">
      <c r="A38" s="23" t="n">
        <v>2001</v>
      </c>
      <c r="B38" s="23" t="s">
        <v>93</v>
      </c>
      <c r="C38" s="27" t="n">
        <v>1595342</v>
      </c>
    </row>
    <row r="39" customFormat="false" ht="15" hidden="false" customHeight="false" outlineLevel="0" collapsed="false">
      <c r="A39" s="23" t="n">
        <v>2001</v>
      </c>
      <c r="B39" s="23" t="s">
        <v>94</v>
      </c>
      <c r="C39" s="27" t="n">
        <v>1770682</v>
      </c>
    </row>
    <row r="40" customFormat="false" ht="15" hidden="false" customHeight="false" outlineLevel="0" collapsed="false">
      <c r="A40" s="23" t="n">
        <v>2002</v>
      </c>
      <c r="B40" s="23" t="s">
        <v>83</v>
      </c>
      <c r="C40" s="27" t="n">
        <v>1751961</v>
      </c>
    </row>
    <row r="41" customFormat="false" ht="15" hidden="false" customHeight="false" outlineLevel="0" collapsed="false">
      <c r="A41" s="23" t="n">
        <v>2002</v>
      </c>
      <c r="B41" s="23" t="s">
        <v>84</v>
      </c>
      <c r="C41" s="27" t="n">
        <v>1836549</v>
      </c>
    </row>
    <row r="42" customFormat="false" ht="15" hidden="false" customHeight="false" outlineLevel="0" collapsed="false">
      <c r="A42" s="23" t="n">
        <v>2002</v>
      </c>
      <c r="B42" s="23" t="s">
        <v>85</v>
      </c>
      <c r="C42" s="27" t="n">
        <v>1855032</v>
      </c>
    </row>
    <row r="43" customFormat="false" ht="15" hidden="false" customHeight="false" outlineLevel="0" collapsed="false">
      <c r="A43" s="23" t="n">
        <v>2002</v>
      </c>
      <c r="B43" s="23" t="s">
        <v>86</v>
      </c>
      <c r="C43" s="27" t="n">
        <v>1872701</v>
      </c>
    </row>
    <row r="44" customFormat="false" ht="15" hidden="false" customHeight="false" outlineLevel="0" collapsed="false">
      <c r="A44" s="23" t="n">
        <v>2002</v>
      </c>
      <c r="B44" s="23" t="s">
        <v>87</v>
      </c>
      <c r="C44" s="27" t="n">
        <v>1912883</v>
      </c>
    </row>
    <row r="45" customFormat="false" ht="15" hidden="false" customHeight="false" outlineLevel="0" collapsed="false">
      <c r="A45" s="23" t="n">
        <v>2002</v>
      </c>
      <c r="B45" s="23" t="s">
        <v>88</v>
      </c>
      <c r="C45" s="27" t="n">
        <v>1799622</v>
      </c>
    </row>
    <row r="46" customFormat="false" ht="15" hidden="false" customHeight="false" outlineLevel="0" collapsed="false">
      <c r="A46" s="23" t="n">
        <v>2002</v>
      </c>
      <c r="B46" s="23" t="s">
        <v>89</v>
      </c>
      <c r="C46" s="27" t="n">
        <v>1753352</v>
      </c>
    </row>
    <row r="47" customFormat="false" ht="15" hidden="false" customHeight="false" outlineLevel="0" collapsed="false">
      <c r="A47" s="23" t="n">
        <v>2002</v>
      </c>
      <c r="B47" s="23" t="s">
        <v>90</v>
      </c>
      <c r="C47" s="27" t="n">
        <v>1643631</v>
      </c>
    </row>
    <row r="48" customFormat="false" ht="15" hidden="false" customHeight="false" outlineLevel="0" collapsed="false">
      <c r="A48" s="23" t="n">
        <v>2002</v>
      </c>
      <c r="B48" s="23" t="s">
        <v>91</v>
      </c>
      <c r="C48" s="27" t="n">
        <v>1661875</v>
      </c>
    </row>
    <row r="49" customFormat="false" ht="15" hidden="false" customHeight="false" outlineLevel="0" collapsed="false">
      <c r="A49" s="23" t="n">
        <v>2002</v>
      </c>
      <c r="B49" s="23" t="s">
        <v>92</v>
      </c>
      <c r="C49" s="27" t="n">
        <v>1598744</v>
      </c>
    </row>
    <row r="50" customFormat="false" ht="15" hidden="false" customHeight="false" outlineLevel="0" collapsed="false">
      <c r="A50" s="23" t="n">
        <v>2002</v>
      </c>
      <c r="B50" s="23" t="s">
        <v>93</v>
      </c>
      <c r="C50" s="27" t="n">
        <v>1626573</v>
      </c>
    </row>
    <row r="51" customFormat="false" ht="15" hidden="false" customHeight="false" outlineLevel="0" collapsed="false">
      <c r="A51" s="23" t="n">
        <v>2002</v>
      </c>
      <c r="B51" s="23" t="s">
        <v>94</v>
      </c>
      <c r="C51" s="27" t="n">
        <v>1584151</v>
      </c>
    </row>
    <row r="52" customFormat="false" ht="15" hidden="false" customHeight="false" outlineLevel="0" collapsed="false">
      <c r="A52" s="23" t="n">
        <v>2003</v>
      </c>
      <c r="B52" s="23" t="s">
        <v>83</v>
      </c>
      <c r="C52" s="27" t="n">
        <v>1519423</v>
      </c>
    </row>
    <row r="53" customFormat="false" ht="15" hidden="false" customHeight="false" outlineLevel="0" collapsed="false">
      <c r="A53" s="23" t="n">
        <v>2003</v>
      </c>
      <c r="B53" s="23" t="s">
        <v>84</v>
      </c>
      <c r="C53" s="27" t="n">
        <v>1446617</v>
      </c>
    </row>
    <row r="54" customFormat="false" ht="15" hidden="false" customHeight="false" outlineLevel="0" collapsed="false">
      <c r="A54" s="23" t="n">
        <v>2003</v>
      </c>
      <c r="B54" s="23" t="s">
        <v>85</v>
      </c>
      <c r="C54" s="27" t="n">
        <v>1335080</v>
      </c>
    </row>
    <row r="55" customFormat="false" ht="15" hidden="false" customHeight="false" outlineLevel="0" collapsed="false">
      <c r="A55" s="23" t="n">
        <v>2003</v>
      </c>
      <c r="B55" s="23" t="s">
        <v>86</v>
      </c>
      <c r="C55" s="27" t="n">
        <v>1302901</v>
      </c>
    </row>
    <row r="56" customFormat="false" ht="15" hidden="false" customHeight="false" outlineLevel="0" collapsed="false">
      <c r="A56" s="23" t="n">
        <v>2003</v>
      </c>
      <c r="B56" s="23" t="s">
        <v>87</v>
      </c>
      <c r="C56" s="27" t="n">
        <v>1459869</v>
      </c>
    </row>
    <row r="57" customFormat="false" ht="15" hidden="false" customHeight="false" outlineLevel="0" collapsed="false">
      <c r="A57" s="23" t="n">
        <v>2003</v>
      </c>
      <c r="B57" s="23" t="s">
        <v>88</v>
      </c>
      <c r="C57" s="27" t="n">
        <v>1419963</v>
      </c>
    </row>
    <row r="58" customFormat="false" ht="15" hidden="false" customHeight="false" outlineLevel="0" collapsed="false">
      <c r="A58" s="23" t="n">
        <v>2003</v>
      </c>
      <c r="B58" s="23" t="s">
        <v>89</v>
      </c>
      <c r="C58" s="27" t="n">
        <v>1490357</v>
      </c>
    </row>
    <row r="59" customFormat="false" ht="15" hidden="false" customHeight="false" outlineLevel="0" collapsed="false">
      <c r="A59" s="23" t="n">
        <v>2003</v>
      </c>
      <c r="B59" s="23" t="s">
        <v>90</v>
      </c>
      <c r="C59" s="27" t="n">
        <v>1568484</v>
      </c>
    </row>
    <row r="60" customFormat="false" ht="15" hidden="false" customHeight="false" outlineLevel="0" collapsed="false">
      <c r="A60" s="23" t="n">
        <v>2003</v>
      </c>
      <c r="B60" s="23" t="s">
        <v>91</v>
      </c>
      <c r="C60" s="27" t="n">
        <v>1524909</v>
      </c>
    </row>
    <row r="61" customFormat="false" ht="15" hidden="false" customHeight="false" outlineLevel="0" collapsed="false">
      <c r="A61" s="23" t="n">
        <v>2003</v>
      </c>
      <c r="B61" s="23" t="s">
        <v>92</v>
      </c>
      <c r="C61" s="27" t="n">
        <v>1666494</v>
      </c>
    </row>
    <row r="62" customFormat="false" ht="15" hidden="false" customHeight="false" outlineLevel="0" collapsed="false">
      <c r="A62" s="23" t="n">
        <v>2003</v>
      </c>
      <c r="B62" s="23" t="s">
        <v>93</v>
      </c>
      <c r="C62" s="27" t="n">
        <v>1679501</v>
      </c>
    </row>
    <row r="63" customFormat="false" ht="15" hidden="false" customHeight="false" outlineLevel="0" collapsed="false">
      <c r="A63" s="23" t="n">
        <v>2003</v>
      </c>
      <c r="B63" s="23" t="s">
        <v>94</v>
      </c>
      <c r="C63" s="27" t="n">
        <v>1787194</v>
      </c>
    </row>
    <row r="64" customFormat="false" ht="15" hidden="false" customHeight="false" outlineLevel="0" collapsed="false">
      <c r="A64" s="23" t="n">
        <v>2004</v>
      </c>
      <c r="B64" s="23" t="s">
        <v>83</v>
      </c>
      <c r="C64" s="27" t="n">
        <v>1866079</v>
      </c>
    </row>
    <row r="65" customFormat="false" ht="15" hidden="false" customHeight="false" outlineLevel="0" collapsed="false">
      <c r="A65" s="23" t="n">
        <v>2004</v>
      </c>
      <c r="B65" s="23" t="s">
        <v>84</v>
      </c>
      <c r="C65" s="27" t="n">
        <v>1868766</v>
      </c>
    </row>
    <row r="66" customFormat="false" ht="15" hidden="false" customHeight="false" outlineLevel="0" collapsed="false">
      <c r="A66" s="23" t="n">
        <v>2004</v>
      </c>
      <c r="B66" s="23" t="s">
        <v>85</v>
      </c>
      <c r="C66" s="27" t="n">
        <v>1924967</v>
      </c>
    </row>
    <row r="67" customFormat="false" ht="15" hidden="false" customHeight="false" outlineLevel="0" collapsed="false">
      <c r="A67" s="23" t="n">
        <v>2004</v>
      </c>
      <c r="B67" s="23" t="s">
        <v>86</v>
      </c>
      <c r="C67" s="27" t="n">
        <v>1863216</v>
      </c>
    </row>
    <row r="68" customFormat="false" ht="15" hidden="false" customHeight="false" outlineLevel="0" collapsed="false">
      <c r="A68" s="23" t="n">
        <v>2004</v>
      </c>
      <c r="B68" s="23" t="s">
        <v>87</v>
      </c>
      <c r="C68" s="27" t="n">
        <v>1929922</v>
      </c>
    </row>
    <row r="69" customFormat="false" ht="15" hidden="false" customHeight="false" outlineLevel="0" collapsed="false">
      <c r="A69" s="23" t="n">
        <v>2004</v>
      </c>
      <c r="B69" s="23" t="s">
        <v>88</v>
      </c>
      <c r="C69" s="27" t="n">
        <v>1918988</v>
      </c>
    </row>
    <row r="70" customFormat="false" ht="15" hidden="false" customHeight="false" outlineLevel="0" collapsed="false">
      <c r="A70" s="23" t="n">
        <v>2004</v>
      </c>
      <c r="B70" s="23" t="s">
        <v>89</v>
      </c>
      <c r="C70" s="27" t="n">
        <v>1994269</v>
      </c>
    </row>
    <row r="71" customFormat="false" ht="15" hidden="false" customHeight="false" outlineLevel="0" collapsed="false">
      <c r="A71" s="23" t="n">
        <v>2004</v>
      </c>
      <c r="B71" s="23" t="s">
        <v>90</v>
      </c>
      <c r="C71" s="27" t="n">
        <v>2185494</v>
      </c>
    </row>
    <row r="72" customFormat="false" ht="15" hidden="false" customHeight="false" outlineLevel="0" collapsed="false">
      <c r="A72" s="23" t="n">
        <v>2004</v>
      </c>
      <c r="B72" s="23" t="s">
        <v>91</v>
      </c>
      <c r="C72" s="27" t="n">
        <v>2284144</v>
      </c>
    </row>
    <row r="73" customFormat="false" ht="15" hidden="false" customHeight="false" outlineLevel="0" collapsed="false">
      <c r="A73" s="23" t="n">
        <v>2004</v>
      </c>
      <c r="B73" s="23" t="s">
        <v>92</v>
      </c>
      <c r="C73" s="27" t="n">
        <v>2345218</v>
      </c>
    </row>
    <row r="74" customFormat="false" ht="15" hidden="false" customHeight="false" outlineLevel="0" collapsed="false">
      <c r="A74" s="23" t="n">
        <v>2004</v>
      </c>
      <c r="B74" s="23" t="s">
        <v>93</v>
      </c>
      <c r="C74" s="27" t="n">
        <v>2556973</v>
      </c>
    </row>
    <row r="75" customFormat="false" ht="15" hidden="false" customHeight="false" outlineLevel="0" collapsed="false">
      <c r="A75" s="23" t="n">
        <v>2004</v>
      </c>
      <c r="B75" s="23" t="s">
        <v>94</v>
      </c>
      <c r="C75" s="27" t="n">
        <v>2566352</v>
      </c>
    </row>
    <row r="76" customFormat="false" ht="15" hidden="false" customHeight="false" outlineLevel="0" collapsed="false">
      <c r="A76" s="23" t="n">
        <v>2005</v>
      </c>
      <c r="B76" s="23" t="s">
        <v>83</v>
      </c>
      <c r="C76" s="27" t="n">
        <v>2593486</v>
      </c>
    </row>
    <row r="77" customFormat="false" ht="15" hidden="false" customHeight="false" outlineLevel="0" collapsed="false">
      <c r="A77" s="23" t="n">
        <v>2005</v>
      </c>
      <c r="B77" s="23" t="s">
        <v>84</v>
      </c>
      <c r="C77" s="27" t="n">
        <v>2741935</v>
      </c>
    </row>
    <row r="78" customFormat="false" ht="15" hidden="false" customHeight="false" outlineLevel="0" collapsed="false">
      <c r="A78" s="23" t="n">
        <v>2005</v>
      </c>
      <c r="B78" s="23" t="s">
        <v>85</v>
      </c>
      <c r="C78" s="27" t="n">
        <v>2715265</v>
      </c>
    </row>
    <row r="79" customFormat="false" ht="15" hidden="false" customHeight="false" outlineLevel="0" collapsed="false">
      <c r="A79" s="23" t="n">
        <v>2005</v>
      </c>
      <c r="B79" s="23" t="s">
        <v>86</v>
      </c>
      <c r="C79" s="27" t="n">
        <v>2557987</v>
      </c>
    </row>
    <row r="80" customFormat="false" ht="15" hidden="false" customHeight="false" outlineLevel="0" collapsed="false">
      <c r="A80" s="23" t="n">
        <v>2005</v>
      </c>
      <c r="B80" s="23" t="s">
        <v>87</v>
      </c>
      <c r="C80" s="27" t="n">
        <v>2850538</v>
      </c>
    </row>
    <row r="81" customFormat="false" ht="15" hidden="false" customHeight="false" outlineLevel="0" collapsed="false">
      <c r="A81" s="23" t="n">
        <v>2005</v>
      </c>
      <c r="B81" s="23" t="s">
        <v>88</v>
      </c>
      <c r="C81" s="27" t="n">
        <v>2720380</v>
      </c>
    </row>
    <row r="82" customFormat="false" ht="15" hidden="false" customHeight="false" outlineLevel="0" collapsed="false">
      <c r="A82" s="23" t="n">
        <v>2005</v>
      </c>
      <c r="B82" s="23" t="s">
        <v>89</v>
      </c>
      <c r="C82" s="27" t="n">
        <v>2911800</v>
      </c>
    </row>
    <row r="83" customFormat="false" ht="15" hidden="false" customHeight="false" outlineLevel="0" collapsed="false">
      <c r="A83" s="23" t="n">
        <v>2005</v>
      </c>
      <c r="B83" s="23" t="s">
        <v>90</v>
      </c>
      <c r="C83" s="27" t="n">
        <v>2984677</v>
      </c>
    </row>
    <row r="84" customFormat="false" ht="15" hidden="false" customHeight="false" outlineLevel="0" collapsed="false">
      <c r="A84" s="23" t="n">
        <v>2005</v>
      </c>
      <c r="B84" s="23" t="s">
        <v>91</v>
      </c>
      <c r="C84" s="27" t="n">
        <v>3286468</v>
      </c>
    </row>
    <row r="85" customFormat="false" ht="15" hidden="false" customHeight="false" outlineLevel="0" collapsed="false">
      <c r="A85" s="23" t="n">
        <v>2005</v>
      </c>
      <c r="B85" s="23" t="s">
        <v>92</v>
      </c>
      <c r="C85" s="27" t="n">
        <v>3287420</v>
      </c>
    </row>
    <row r="86" customFormat="false" ht="15" hidden="false" customHeight="false" outlineLevel="0" collapsed="false">
      <c r="A86" s="23" t="n">
        <v>2005</v>
      </c>
      <c r="B86" s="23" t="s">
        <v>93</v>
      </c>
      <c r="C86" s="27" t="n">
        <v>3370170</v>
      </c>
    </row>
    <row r="87" customFormat="false" ht="15" hidden="false" customHeight="false" outlineLevel="0" collapsed="false">
      <c r="A87" s="23" t="n">
        <v>2005</v>
      </c>
      <c r="B87" s="23" t="s">
        <v>94</v>
      </c>
      <c r="C87" s="27" t="n">
        <v>3586112</v>
      </c>
    </row>
    <row r="88" customFormat="false" ht="15" hidden="false" customHeight="false" outlineLevel="0" collapsed="false">
      <c r="A88" s="23" t="n">
        <v>2006</v>
      </c>
      <c r="B88" s="23" t="s">
        <v>83</v>
      </c>
      <c r="C88" s="27" t="n">
        <v>3966803</v>
      </c>
    </row>
    <row r="89" customFormat="false" ht="15" hidden="false" customHeight="false" outlineLevel="0" collapsed="false">
      <c r="A89" s="23" t="n">
        <v>2006</v>
      </c>
      <c r="B89" s="23" t="s">
        <v>84</v>
      </c>
      <c r="C89" s="27" t="n">
        <v>3885971</v>
      </c>
    </row>
    <row r="90" customFormat="false" ht="15" hidden="false" customHeight="false" outlineLevel="0" collapsed="false">
      <c r="A90" s="23" t="n">
        <v>2006</v>
      </c>
      <c r="B90" s="23" t="s">
        <v>85</v>
      </c>
      <c r="C90" s="27" t="n">
        <v>4127732</v>
      </c>
    </row>
    <row r="91" customFormat="false" ht="15" hidden="false" customHeight="false" outlineLevel="0" collapsed="false">
      <c r="A91" s="23" t="n">
        <v>2006</v>
      </c>
      <c r="B91" s="23" t="s">
        <v>86</v>
      </c>
      <c r="C91" s="27" t="n">
        <v>4233301</v>
      </c>
    </row>
    <row r="92" customFormat="false" ht="15" hidden="false" customHeight="false" outlineLevel="0" collapsed="false">
      <c r="A92" s="23" t="n">
        <v>2006</v>
      </c>
      <c r="B92" s="23" t="s">
        <v>87</v>
      </c>
      <c r="C92" s="27" t="n">
        <v>4104422</v>
      </c>
    </row>
    <row r="93" customFormat="false" ht="15" hidden="false" customHeight="false" outlineLevel="0" collapsed="false">
      <c r="A93" s="23" t="n">
        <v>2006</v>
      </c>
      <c r="B93" s="23" t="s">
        <v>88</v>
      </c>
      <c r="C93" s="27" t="n">
        <v>4299890</v>
      </c>
    </row>
    <row r="94" customFormat="false" ht="15" hidden="false" customHeight="false" outlineLevel="0" collapsed="false">
      <c r="A94" s="23" t="n">
        <v>2006</v>
      </c>
      <c r="B94" s="23" t="s">
        <v>89</v>
      </c>
      <c r="C94" s="27" t="n">
        <v>4261946</v>
      </c>
    </row>
    <row r="95" customFormat="false" ht="15" hidden="false" customHeight="false" outlineLevel="0" collapsed="false">
      <c r="A95" s="23" t="n">
        <v>2006</v>
      </c>
      <c r="B95" s="23" t="s">
        <v>90</v>
      </c>
      <c r="C95" s="27" t="n">
        <v>4497005</v>
      </c>
    </row>
    <row r="96" customFormat="false" ht="15" hidden="false" customHeight="false" outlineLevel="0" collapsed="false">
      <c r="A96" s="23" t="n">
        <v>2006</v>
      </c>
      <c r="B96" s="23" t="s">
        <v>91</v>
      </c>
      <c r="C96" s="27" t="n">
        <v>4520857</v>
      </c>
    </row>
    <row r="97" customFormat="false" ht="15" hidden="false" customHeight="false" outlineLevel="0" collapsed="false">
      <c r="A97" s="23" t="n">
        <v>2006</v>
      </c>
      <c r="B97" s="23" t="s">
        <v>92</v>
      </c>
      <c r="C97" s="27" t="n">
        <v>4724491</v>
      </c>
    </row>
    <row r="98" customFormat="false" ht="15" hidden="false" customHeight="false" outlineLevel="0" collapsed="false">
      <c r="A98" s="23" t="n">
        <v>2006</v>
      </c>
      <c r="B98" s="23" t="s">
        <v>93</v>
      </c>
      <c r="C98" s="27" t="n">
        <v>4865483</v>
      </c>
    </row>
    <row r="99" customFormat="false" ht="15" hidden="false" customHeight="false" outlineLevel="0" collapsed="false">
      <c r="A99" s="23" t="n">
        <v>2006</v>
      </c>
      <c r="B99" s="23" t="s">
        <v>94</v>
      </c>
      <c r="C99" s="27" t="n">
        <v>5041515</v>
      </c>
    </row>
    <row r="100" customFormat="false" ht="15" hidden="false" customHeight="false" outlineLevel="0" collapsed="false">
      <c r="A100" s="23" t="n">
        <v>2007</v>
      </c>
      <c r="B100" s="23" t="s">
        <v>83</v>
      </c>
      <c r="C100" s="27" t="n">
        <v>5195340</v>
      </c>
    </row>
    <row r="101" customFormat="false" ht="15" hidden="false" customHeight="false" outlineLevel="0" collapsed="false">
      <c r="A101" s="23" t="n">
        <v>2007</v>
      </c>
      <c r="B101" s="23" t="s">
        <v>84</v>
      </c>
      <c r="C101" s="27" t="n">
        <v>5293743</v>
      </c>
    </row>
    <row r="102" customFormat="false" ht="15" hidden="false" customHeight="false" outlineLevel="0" collapsed="false">
      <c r="A102" s="23" t="n">
        <v>2007</v>
      </c>
      <c r="B102" s="23" t="s">
        <v>85</v>
      </c>
      <c r="C102" s="27" t="n">
        <v>5780432</v>
      </c>
    </row>
    <row r="103" customFormat="false" ht="15" hidden="false" customHeight="false" outlineLevel="0" collapsed="false">
      <c r="A103" s="23" t="n">
        <v>2007</v>
      </c>
      <c r="B103" s="23" t="s">
        <v>86</v>
      </c>
      <c r="C103" s="27" t="n">
        <v>5714447</v>
      </c>
    </row>
    <row r="104" customFormat="false" ht="15" hidden="false" customHeight="false" outlineLevel="0" collapsed="false">
      <c r="A104" s="23" t="n">
        <v>2007</v>
      </c>
      <c r="B104" s="23" t="s">
        <v>87</v>
      </c>
      <c r="C104" s="27" t="n">
        <v>5729948</v>
      </c>
    </row>
    <row r="105" customFormat="false" ht="15" hidden="false" customHeight="false" outlineLevel="0" collapsed="false">
      <c r="A105" s="23" t="n">
        <v>2007</v>
      </c>
      <c r="B105" s="23" t="s">
        <v>88</v>
      </c>
      <c r="C105" s="27" t="n">
        <v>5641337</v>
      </c>
    </row>
    <row r="106" customFormat="false" ht="15" hidden="false" customHeight="false" outlineLevel="0" collapsed="false">
      <c r="A106" s="23" t="n">
        <v>2007</v>
      </c>
      <c r="B106" s="23" t="s">
        <v>89</v>
      </c>
      <c r="C106" s="27" t="n">
        <v>5561880</v>
      </c>
    </row>
    <row r="107" customFormat="false" ht="15" hidden="false" customHeight="false" outlineLevel="0" collapsed="false">
      <c r="A107" s="23" t="n">
        <v>2007</v>
      </c>
      <c r="B107" s="23" t="s">
        <v>90</v>
      </c>
      <c r="C107" s="27" t="n">
        <v>5604640</v>
      </c>
    </row>
    <row r="108" customFormat="false" ht="15" hidden="false" customHeight="false" outlineLevel="0" collapsed="false">
      <c r="A108" s="23" t="n">
        <v>2007</v>
      </c>
      <c r="B108" s="23" t="s">
        <v>91</v>
      </c>
      <c r="C108" s="27" t="n">
        <v>5851827</v>
      </c>
    </row>
    <row r="109" customFormat="false" ht="15" hidden="false" customHeight="false" outlineLevel="0" collapsed="false">
      <c r="A109" s="23" t="n">
        <v>2007</v>
      </c>
      <c r="B109" s="23" t="s">
        <v>92</v>
      </c>
      <c r="C109" s="27" t="n">
        <v>6219048</v>
      </c>
    </row>
    <row r="110" customFormat="false" ht="15" hidden="false" customHeight="false" outlineLevel="0" collapsed="false">
      <c r="A110" s="23" t="n">
        <v>2007</v>
      </c>
      <c r="B110" s="23" t="s">
        <v>93</v>
      </c>
      <c r="C110" s="27" t="n">
        <v>5948815</v>
      </c>
    </row>
    <row r="111" customFormat="false" ht="15" hidden="false" customHeight="false" outlineLevel="0" collapsed="false">
      <c r="A111" s="23" t="n">
        <v>2007</v>
      </c>
      <c r="B111" s="23" t="s">
        <v>94</v>
      </c>
      <c r="C111" s="27" t="n">
        <v>5696829</v>
      </c>
    </row>
    <row r="112" customFormat="false" ht="15" hidden="false" customHeight="false" outlineLevel="0" collapsed="false">
      <c r="A112" s="23" t="n">
        <v>2008</v>
      </c>
      <c r="B112" s="23" t="s">
        <v>83</v>
      </c>
      <c r="C112" s="27" t="n">
        <v>5366646</v>
      </c>
    </row>
    <row r="113" customFormat="false" ht="15" hidden="false" customHeight="false" outlineLevel="0" collapsed="false">
      <c r="A113" s="23" t="n">
        <v>2008</v>
      </c>
      <c r="B113" s="23" t="s">
        <v>84</v>
      </c>
      <c r="C113" s="27" t="n">
        <v>5986529</v>
      </c>
    </row>
    <row r="114" customFormat="false" ht="15" hidden="false" customHeight="false" outlineLevel="0" collapsed="false">
      <c r="A114" s="23" t="n">
        <v>2008</v>
      </c>
      <c r="B114" s="23" t="s">
        <v>85</v>
      </c>
      <c r="C114" s="27" t="n">
        <v>5793634</v>
      </c>
    </row>
    <row r="115" customFormat="false" ht="15" hidden="false" customHeight="false" outlineLevel="0" collapsed="false">
      <c r="A115" s="23" t="n">
        <v>2008</v>
      </c>
      <c r="B115" s="23" t="s">
        <v>86</v>
      </c>
      <c r="C115" s="27" t="n">
        <v>6010006</v>
      </c>
    </row>
    <row r="116" customFormat="false" ht="15" hidden="false" customHeight="false" outlineLevel="0" collapsed="false">
      <c r="A116" s="23" t="n">
        <v>2008</v>
      </c>
      <c r="B116" s="23" t="s">
        <v>87</v>
      </c>
      <c r="C116" s="27" t="n">
        <v>6262816</v>
      </c>
    </row>
    <row r="117" customFormat="false" ht="15" hidden="false" customHeight="false" outlineLevel="0" collapsed="false">
      <c r="A117" s="23" t="n">
        <v>2008</v>
      </c>
      <c r="B117" s="23" t="s">
        <v>88</v>
      </c>
      <c r="C117" s="27" t="n">
        <v>5950333</v>
      </c>
    </row>
    <row r="118" customFormat="false" ht="15" hidden="false" customHeight="false" outlineLevel="0" collapsed="false">
      <c r="A118" s="23" t="n">
        <v>2008</v>
      </c>
      <c r="B118" s="23" t="s">
        <v>89</v>
      </c>
      <c r="C118" s="27" t="n">
        <v>5317440</v>
      </c>
    </row>
    <row r="119" customFormat="false" ht="15" hidden="false" customHeight="false" outlineLevel="0" collapsed="false">
      <c r="A119" s="23" t="n">
        <v>2008</v>
      </c>
      <c r="B119" s="23" t="s">
        <v>90</v>
      </c>
      <c r="C119" s="27" t="n">
        <v>5362100</v>
      </c>
    </row>
    <row r="120" customFormat="false" ht="15" hidden="false" customHeight="false" outlineLevel="0" collapsed="false">
      <c r="A120" s="23" t="n">
        <v>2008</v>
      </c>
      <c r="B120" s="23" t="s">
        <v>91</v>
      </c>
      <c r="C120" s="27" t="n">
        <v>4557792</v>
      </c>
    </row>
    <row r="121" customFormat="false" ht="15" hidden="false" customHeight="false" outlineLevel="0" collapsed="false">
      <c r="A121" s="23" t="n">
        <v>2008</v>
      </c>
      <c r="B121" s="23" t="s">
        <v>92</v>
      </c>
      <c r="C121" s="27" t="n">
        <v>4427603</v>
      </c>
    </row>
    <row r="122" customFormat="false" ht="15" hidden="false" customHeight="false" outlineLevel="0" collapsed="false">
      <c r="A122" s="23" t="n">
        <v>2008</v>
      </c>
      <c r="B122" s="23" t="s">
        <v>93</v>
      </c>
      <c r="C122" s="27" t="n">
        <v>4419646</v>
      </c>
    </row>
    <row r="123" customFormat="false" ht="15" hidden="false" customHeight="false" outlineLevel="0" collapsed="false">
      <c r="A123" s="23" t="n">
        <v>2008</v>
      </c>
      <c r="B123" s="23" t="s">
        <v>94</v>
      </c>
      <c r="C123" s="27" t="n">
        <v>4541938</v>
      </c>
    </row>
    <row r="124" customFormat="false" ht="15" hidden="false" customHeight="false" outlineLevel="0" collapsed="false">
      <c r="A124" s="23" t="n">
        <v>2009</v>
      </c>
      <c r="B124" s="23" t="s">
        <v>83</v>
      </c>
      <c r="C124" s="27" t="n">
        <v>4447211</v>
      </c>
    </row>
    <row r="125" customFormat="false" ht="15" hidden="false" customHeight="false" outlineLevel="0" collapsed="false">
      <c r="A125" s="23" t="n">
        <v>2009</v>
      </c>
      <c r="B125" s="23" t="s">
        <v>84</v>
      </c>
      <c r="C125" s="27" t="n">
        <v>4005292</v>
      </c>
    </row>
    <row r="126" customFormat="false" ht="15" hidden="false" customHeight="false" outlineLevel="0" collapsed="false">
      <c r="A126" s="23" t="n">
        <v>2009</v>
      </c>
      <c r="B126" s="23" t="s">
        <v>85</v>
      </c>
      <c r="C126" s="27" t="n">
        <v>4292848</v>
      </c>
    </row>
    <row r="127" customFormat="false" ht="15" hidden="false" customHeight="false" outlineLevel="0" collapsed="false">
      <c r="A127" s="23" t="n">
        <v>2009</v>
      </c>
      <c r="B127" s="23" t="s">
        <v>86</v>
      </c>
      <c r="C127" s="27" t="n">
        <v>4358294</v>
      </c>
    </row>
    <row r="128" customFormat="false" ht="15" hidden="false" customHeight="false" outlineLevel="0" collapsed="false">
      <c r="A128" s="23" t="n">
        <v>2009</v>
      </c>
      <c r="B128" s="23" t="s">
        <v>87</v>
      </c>
      <c r="C128" s="27" t="n">
        <v>4899569</v>
      </c>
    </row>
    <row r="129" customFormat="false" ht="15" hidden="false" customHeight="false" outlineLevel="0" collapsed="false">
      <c r="A129" s="23" t="n">
        <v>2009</v>
      </c>
      <c r="B129" s="23" t="s">
        <v>88</v>
      </c>
      <c r="C129" s="27" t="n">
        <v>4732893</v>
      </c>
    </row>
    <row r="130" customFormat="false" ht="15" hidden="false" customHeight="false" outlineLevel="0" collapsed="false">
      <c r="A130" s="23" t="n">
        <v>2009</v>
      </c>
      <c r="B130" s="23" t="s">
        <v>89</v>
      </c>
      <c r="C130" s="27" t="n">
        <v>5242979</v>
      </c>
    </row>
    <row r="131" customFormat="false" ht="15" hidden="false" customHeight="false" outlineLevel="0" collapsed="false">
      <c r="A131" s="23" t="n">
        <v>2009</v>
      </c>
      <c r="B131" s="23" t="s">
        <v>90</v>
      </c>
      <c r="C131" s="27" t="n">
        <v>5419562</v>
      </c>
    </row>
    <row r="132" customFormat="false" ht="15" hidden="false" customHeight="false" outlineLevel="0" collapsed="false">
      <c r="A132" s="23" t="n">
        <v>2009</v>
      </c>
      <c r="B132" s="23" t="s">
        <v>91</v>
      </c>
      <c r="C132" s="27" t="n">
        <v>5415485</v>
      </c>
    </row>
    <row r="133" customFormat="false" ht="15" hidden="false" customHeight="false" outlineLevel="0" collapsed="false">
      <c r="A133" s="23" t="n">
        <v>2009</v>
      </c>
      <c r="B133" s="23" t="s">
        <v>92</v>
      </c>
      <c r="C133" s="27" t="n">
        <v>5760391</v>
      </c>
    </row>
    <row r="134" customFormat="false" ht="15" hidden="false" customHeight="false" outlineLevel="0" collapsed="false">
      <c r="A134" s="23" t="n">
        <v>2009</v>
      </c>
      <c r="B134" s="23" t="s">
        <v>93</v>
      </c>
      <c r="C134" s="27" t="n">
        <v>5815657</v>
      </c>
    </row>
    <row r="135" customFormat="false" ht="15" hidden="false" customHeight="false" outlineLevel="0" collapsed="false">
      <c r="A135" s="23" t="n">
        <v>2009</v>
      </c>
      <c r="B135" s="23" t="s">
        <v>94</v>
      </c>
      <c r="C135" s="27" t="n">
        <v>5929063</v>
      </c>
    </row>
    <row r="136" customFormat="false" ht="15" hidden="false" customHeight="false" outlineLevel="0" collapsed="false">
      <c r="A136" s="23" t="n">
        <v>2010</v>
      </c>
      <c r="B136" s="23" t="s">
        <v>83</v>
      </c>
      <c r="C136" s="27" t="n">
        <v>5755594</v>
      </c>
    </row>
    <row r="137" customFormat="false" ht="15" hidden="false" customHeight="false" outlineLevel="0" collapsed="false">
      <c r="A137" s="23" t="n">
        <v>2010</v>
      </c>
      <c r="B137" s="23" t="s">
        <v>84</v>
      </c>
      <c r="C137" s="27" t="n">
        <v>5768377</v>
      </c>
    </row>
    <row r="138" customFormat="false" ht="15" hidden="false" customHeight="false" outlineLevel="0" collapsed="false">
      <c r="A138" s="23" t="n">
        <v>2010</v>
      </c>
      <c r="B138" s="23" t="s">
        <v>85</v>
      </c>
      <c r="C138" s="27" t="n">
        <v>6143200</v>
      </c>
    </row>
    <row r="139" customFormat="false" ht="15" hidden="false" customHeight="false" outlineLevel="0" collapsed="false">
      <c r="A139" s="23" t="n">
        <v>2010</v>
      </c>
      <c r="B139" s="23" t="s">
        <v>86</v>
      </c>
      <c r="C139" s="27" t="n">
        <v>6120778</v>
      </c>
    </row>
    <row r="140" customFormat="false" ht="15" hidden="false" customHeight="false" outlineLevel="0" collapsed="false">
      <c r="A140" s="23" t="n">
        <v>2010</v>
      </c>
      <c r="B140" s="23" t="s">
        <v>87</v>
      </c>
      <c r="C140" s="27" t="n">
        <v>5794440</v>
      </c>
    </row>
    <row r="141" customFormat="false" ht="15" hidden="false" customHeight="false" outlineLevel="0" collapsed="false">
      <c r="A141" s="23" t="n">
        <v>2010</v>
      </c>
      <c r="B141" s="23" t="s">
        <v>88</v>
      </c>
      <c r="C141" s="27" t="n">
        <v>5634901</v>
      </c>
    </row>
    <row r="142" customFormat="false" ht="15" hidden="false" customHeight="false" outlineLevel="0" collapsed="false">
      <c r="A142" s="23" t="n">
        <v>2010</v>
      </c>
      <c r="B142" s="23" t="s">
        <v>89</v>
      </c>
      <c r="C142" s="27" t="n">
        <v>6035433</v>
      </c>
    </row>
    <row r="143" customFormat="false" ht="15" hidden="false" customHeight="false" outlineLevel="0" collapsed="false">
      <c r="A143" s="23" t="n">
        <v>2010</v>
      </c>
      <c r="B143" s="23" t="s">
        <v>90</v>
      </c>
      <c r="C143" s="27" t="n">
        <v>5816740</v>
      </c>
    </row>
    <row r="144" customFormat="false" ht="15" hidden="false" customHeight="false" outlineLevel="0" collapsed="false">
      <c r="A144" s="23" t="n">
        <v>2010</v>
      </c>
      <c r="B144" s="23" t="s">
        <v>91</v>
      </c>
      <c r="C144" s="27" t="n">
        <v>6318669</v>
      </c>
    </row>
    <row r="145" customFormat="false" ht="15" hidden="false" customHeight="false" outlineLevel="0" collapsed="false">
      <c r="A145" s="23" t="n">
        <v>2010</v>
      </c>
      <c r="B145" s="23" t="s">
        <v>92</v>
      </c>
      <c r="C145" s="27" t="n">
        <v>6445455</v>
      </c>
    </row>
    <row r="146" customFormat="false" ht="15" hidden="false" customHeight="false" outlineLevel="0" collapsed="false">
      <c r="A146" s="23" t="n">
        <v>2010</v>
      </c>
      <c r="B146" s="23" t="s">
        <v>93</v>
      </c>
      <c r="C146" s="27" t="n">
        <v>6347067</v>
      </c>
    </row>
    <row r="147" customFormat="false" ht="15" hidden="false" customHeight="false" outlineLevel="0" collapsed="false">
      <c r="A147" s="23" t="n">
        <v>2010</v>
      </c>
      <c r="B147" s="23" t="s">
        <v>94</v>
      </c>
      <c r="C147" s="27" t="n">
        <v>6698700</v>
      </c>
    </row>
    <row r="148" customFormat="false" ht="15" hidden="false" customHeight="false" outlineLevel="0" collapsed="false">
      <c r="A148" s="23" t="n">
        <v>2011</v>
      </c>
      <c r="B148" s="23" t="s">
        <v>83</v>
      </c>
      <c r="C148" s="27" t="n">
        <v>6583258</v>
      </c>
    </row>
    <row r="149" customFormat="false" ht="15" hidden="false" customHeight="false" outlineLevel="0" collapsed="false">
      <c r="A149" s="23" t="n">
        <v>2011</v>
      </c>
      <c r="B149" s="23" t="s">
        <v>84</v>
      </c>
      <c r="C149" s="27" t="n">
        <v>6819688</v>
      </c>
    </row>
    <row r="150" customFormat="false" ht="15" hidden="false" customHeight="false" outlineLevel="0" collapsed="false">
      <c r="A150" s="23" t="n">
        <v>2011</v>
      </c>
      <c r="B150" s="23" t="s">
        <v>85</v>
      </c>
      <c r="C150" s="27" t="n">
        <v>6785591</v>
      </c>
    </row>
    <row r="151" customFormat="false" ht="15" hidden="false" customHeight="false" outlineLevel="0" collapsed="false">
      <c r="A151" s="23" t="n">
        <v>2011</v>
      </c>
      <c r="B151" s="23" t="s">
        <v>86</v>
      </c>
      <c r="C151" s="27" t="n">
        <v>6894231</v>
      </c>
    </row>
    <row r="152" customFormat="false" ht="15" hidden="false" customHeight="false" outlineLevel="0" collapsed="false">
      <c r="A152" s="23" t="n">
        <v>2011</v>
      </c>
      <c r="B152" s="23" t="s">
        <v>87</v>
      </c>
      <c r="C152" s="27" t="n">
        <v>6870937</v>
      </c>
    </row>
    <row r="153" customFormat="false" ht="15" hidden="false" customHeight="false" outlineLevel="0" collapsed="false">
      <c r="A153" s="23" t="n">
        <v>2011</v>
      </c>
      <c r="B153" s="23" t="s">
        <v>88</v>
      </c>
      <c r="C153" s="27" t="n">
        <v>6687091</v>
      </c>
    </row>
    <row r="154" customFormat="false" ht="15" hidden="false" customHeight="false" outlineLevel="0" collapsed="false">
      <c r="A154" s="23" t="n">
        <v>2011</v>
      </c>
      <c r="B154" s="23" t="s">
        <v>89</v>
      </c>
      <c r="C154" s="27" t="n">
        <v>6597171</v>
      </c>
    </row>
    <row r="155" customFormat="false" ht="15" hidden="false" customHeight="false" outlineLevel="0" collapsed="false">
      <c r="A155" s="23" t="n">
        <v>2011</v>
      </c>
      <c r="B155" s="23" t="s">
        <v>90</v>
      </c>
      <c r="C155" s="27" t="n">
        <v>6568016</v>
      </c>
    </row>
    <row r="156" customFormat="false" ht="15" hidden="false" customHeight="false" outlineLevel="0" collapsed="false">
      <c r="A156" s="23" t="n">
        <v>2011</v>
      </c>
      <c r="B156" s="23" t="s">
        <v>91</v>
      </c>
      <c r="C156" s="27" t="n">
        <v>6384564</v>
      </c>
    </row>
    <row r="157" customFormat="false" ht="15" hidden="false" customHeight="false" outlineLevel="0" collapsed="false">
      <c r="A157" s="23" t="n">
        <v>2011</v>
      </c>
      <c r="B157" s="23" t="s">
        <v>92</v>
      </c>
      <c r="C157" s="27" t="n">
        <v>6964772</v>
      </c>
    </row>
    <row r="158" customFormat="false" ht="15" hidden="false" customHeight="false" outlineLevel="0" collapsed="false">
      <c r="A158" s="23" t="n">
        <v>2011</v>
      </c>
      <c r="B158" s="23" t="s">
        <v>93</v>
      </c>
      <c r="C158" s="27" t="n">
        <v>7042635</v>
      </c>
    </row>
    <row r="159" customFormat="false" ht="15" hidden="false" customHeight="false" outlineLevel="0" collapsed="false">
      <c r="A159" s="23" t="n">
        <v>2011</v>
      </c>
      <c r="B159" s="23" t="s">
        <v>94</v>
      </c>
      <c r="C159" s="27" t="n">
        <v>6908507</v>
      </c>
    </row>
    <row r="160" customFormat="false" ht="15" hidden="false" customHeight="false" outlineLevel="0" collapsed="false">
      <c r="A160" s="23" t="n">
        <v>2012</v>
      </c>
      <c r="B160" s="23" t="s">
        <v>83</v>
      </c>
      <c r="C160" s="27" t="n">
        <v>7265594</v>
      </c>
    </row>
    <row r="161" customFormat="false" ht="15" hidden="false" customHeight="false" outlineLevel="0" collapsed="false">
      <c r="A161" s="23" t="n">
        <v>2012</v>
      </c>
      <c r="B161" s="23" t="s">
        <v>84</v>
      </c>
      <c r="C161" s="27" t="n">
        <v>7440514</v>
      </c>
    </row>
    <row r="162" customFormat="false" ht="15" hidden="false" customHeight="false" outlineLevel="0" collapsed="false">
      <c r="A162" s="23" t="n">
        <v>2012</v>
      </c>
      <c r="B162" s="23" t="s">
        <v>85</v>
      </c>
      <c r="C162" s="27" t="n">
        <v>7260710</v>
      </c>
    </row>
    <row r="163" customFormat="false" ht="15" hidden="false" customHeight="false" outlineLevel="0" collapsed="false">
      <c r="A163" s="23" t="n">
        <v>2012</v>
      </c>
      <c r="B163" s="23" t="s">
        <v>86</v>
      </c>
      <c r="C163" s="27" t="n">
        <v>7472642</v>
      </c>
    </row>
    <row r="164" customFormat="false" ht="15" hidden="false" customHeight="false" outlineLevel="0" collapsed="false">
      <c r="A164" s="23" t="n">
        <v>2012</v>
      </c>
      <c r="B164" s="23" t="s">
        <v>87</v>
      </c>
      <c r="C164" s="27" t="n">
        <v>7200107</v>
      </c>
    </row>
    <row r="165" customFormat="false" ht="15" hidden="false" customHeight="false" outlineLevel="0" collapsed="false">
      <c r="A165" s="23" t="n">
        <v>2012</v>
      </c>
      <c r="B165" s="23" t="s">
        <v>88</v>
      </c>
      <c r="C165" s="27" t="n">
        <v>7354109</v>
      </c>
    </row>
    <row r="166" customFormat="false" ht="15" hidden="false" customHeight="false" outlineLevel="0" collapsed="false">
      <c r="A166" s="23" t="n">
        <v>2012</v>
      </c>
      <c r="B166" s="23" t="s">
        <v>89</v>
      </c>
      <c r="C166" s="27" t="n">
        <v>7510954</v>
      </c>
    </row>
    <row r="167" customFormat="false" ht="15" hidden="false" customHeight="false" outlineLevel="0" collapsed="false">
      <c r="A167" s="23" t="n">
        <v>2012</v>
      </c>
      <c r="B167" s="23" t="s">
        <v>90</v>
      </c>
      <c r="C167" s="27" t="n">
        <v>7665670</v>
      </c>
    </row>
    <row r="168" customFormat="false" ht="15" hidden="false" customHeight="false" outlineLevel="0" collapsed="false">
      <c r="A168" s="23" t="n">
        <v>2012</v>
      </c>
      <c r="B168" s="23" t="s">
        <v>91</v>
      </c>
      <c r="C168" s="27" t="n">
        <v>7736299</v>
      </c>
    </row>
    <row r="169" customFormat="false" ht="15" hidden="false" customHeight="false" outlineLevel="0" collapsed="false">
      <c r="A169" s="23" t="n">
        <v>2012</v>
      </c>
      <c r="B169" s="23" t="s">
        <v>92</v>
      </c>
      <c r="C169" s="27" t="n">
        <v>8024255</v>
      </c>
    </row>
    <row r="170" customFormat="false" ht="15" hidden="false" customHeight="false" outlineLevel="0" collapsed="false">
      <c r="A170" s="23" t="n">
        <v>2012</v>
      </c>
      <c r="B170" s="23" t="s">
        <v>93</v>
      </c>
      <c r="C170" s="27" t="n">
        <v>8212671</v>
      </c>
    </row>
    <row r="171" customFormat="false" ht="15" hidden="false" customHeight="false" outlineLevel="0" collapsed="false">
      <c r="A171" s="23" t="n">
        <v>2012</v>
      </c>
      <c r="B171" s="23" t="s">
        <v>94</v>
      </c>
      <c r="C171" s="27" t="n">
        <v>8383564</v>
      </c>
    </row>
    <row r="172" customFormat="false" ht="15" hidden="false" customHeight="false" outlineLevel="0" collapsed="false">
      <c r="A172" s="23" t="n">
        <v>2013</v>
      </c>
      <c r="B172" s="23" t="s">
        <v>83</v>
      </c>
      <c r="C172" s="27" t="n">
        <v>8745929</v>
      </c>
    </row>
    <row r="173" customFormat="false" ht="15" hidden="false" customHeight="false" outlineLevel="0" collapsed="false">
      <c r="A173" s="23" t="n">
        <v>2013</v>
      </c>
      <c r="B173" s="23" t="s">
        <v>84</v>
      </c>
      <c r="C173" s="27" t="n">
        <v>8586954</v>
      </c>
    </row>
    <row r="174" customFormat="false" ht="15" hidden="false" customHeight="false" outlineLevel="0" collapsed="false">
      <c r="A174" s="23" t="n">
        <v>2013</v>
      </c>
      <c r="B174" s="23" t="s">
        <v>85</v>
      </c>
      <c r="C174" s="27" t="n">
        <v>8644526</v>
      </c>
    </row>
    <row r="175" customFormat="false" ht="15" hidden="false" customHeight="false" outlineLevel="0" collapsed="false">
      <c r="A175" s="23" t="n">
        <v>2013</v>
      </c>
      <c r="B175" s="23" t="s">
        <v>86</v>
      </c>
      <c r="C175" s="27" t="n">
        <v>8406941</v>
      </c>
    </row>
    <row r="176" customFormat="false" ht="15" hidden="false" customHeight="false" outlineLevel="0" collapsed="false">
      <c r="A176" s="23" t="n">
        <v>2013</v>
      </c>
      <c r="B176" s="23" t="s">
        <v>87</v>
      </c>
      <c r="C176" s="27" t="n">
        <v>9098031</v>
      </c>
    </row>
    <row r="177" customFormat="false" ht="15" hidden="false" customHeight="false" outlineLevel="0" collapsed="false">
      <c r="A177" s="23" t="n">
        <v>2013</v>
      </c>
      <c r="B177" s="23" t="s">
        <v>88</v>
      </c>
      <c r="C177" s="27" t="n">
        <v>8567866</v>
      </c>
    </row>
    <row r="178" customFormat="false" ht="15" hidden="false" customHeight="false" outlineLevel="0" collapsed="false">
      <c r="A178" s="23" t="n">
        <v>2013</v>
      </c>
      <c r="B178" s="23" t="s">
        <v>89</v>
      </c>
      <c r="C178" s="27" t="n">
        <v>8973344</v>
      </c>
    </row>
    <row r="179" customFormat="false" ht="15" hidden="false" customHeight="false" outlineLevel="0" collapsed="false">
      <c r="A179" s="23" t="n">
        <v>2013</v>
      </c>
      <c r="B179" s="23" t="s">
        <v>90</v>
      </c>
      <c r="C179" s="27" t="n">
        <v>9151766</v>
      </c>
    </row>
    <row r="180" customFormat="false" ht="15" hidden="false" customHeight="false" outlineLevel="0" collapsed="false">
      <c r="A180" s="23" t="n">
        <v>2013</v>
      </c>
      <c r="B180" s="23" t="s">
        <v>91</v>
      </c>
      <c r="C180" s="27" t="n">
        <v>9565321</v>
      </c>
    </row>
    <row r="181" customFormat="false" ht="15" hidden="false" customHeight="false" outlineLevel="0" collapsed="false">
      <c r="A181" s="23" t="n">
        <v>2013</v>
      </c>
      <c r="B181" s="23" t="s">
        <v>92</v>
      </c>
      <c r="C181" s="27" t="n">
        <v>9759899</v>
      </c>
    </row>
    <row r="182" customFormat="false" ht="15" hidden="false" customHeight="false" outlineLevel="0" collapsed="false">
      <c r="A182" s="23" t="n">
        <v>2013</v>
      </c>
      <c r="B182" s="23" t="s">
        <v>93</v>
      </c>
      <c r="C182" s="27" t="n">
        <v>10281021</v>
      </c>
    </row>
    <row r="183" customFormat="false" ht="15" hidden="false" customHeight="false" outlineLevel="0" collapsed="false">
      <c r="A183" s="23" t="n">
        <v>2013</v>
      </c>
      <c r="B183" s="23" t="s">
        <v>94</v>
      </c>
      <c r="C183" s="27" t="n">
        <v>10626244</v>
      </c>
    </row>
    <row r="184" customFormat="false" ht="15" hidden="false" customHeight="false" outlineLevel="0" collapsed="false">
      <c r="A184" s="23" t="n">
        <v>2014</v>
      </c>
      <c r="B184" s="23" t="s">
        <v>83</v>
      </c>
      <c r="C184" s="27" t="n">
        <v>10509821</v>
      </c>
    </row>
    <row r="185" customFormat="false" ht="15" hidden="false" customHeight="false" outlineLevel="0" collapsed="false">
      <c r="A185" s="23" t="n">
        <v>2014</v>
      </c>
      <c r="B185" s="23" t="s">
        <v>84</v>
      </c>
      <c r="C185" s="27" t="n">
        <v>10984088</v>
      </c>
    </row>
    <row r="186" customFormat="false" ht="15" hidden="false" customHeight="false" outlineLevel="0" collapsed="false">
      <c r="A186" s="23" t="n">
        <v>2014</v>
      </c>
      <c r="B186" s="23" t="s">
        <v>85</v>
      </c>
      <c r="C186" s="27" t="n">
        <v>11113789</v>
      </c>
    </row>
    <row r="187" customFormat="false" ht="15" hidden="false" customHeight="false" outlineLevel="0" collapsed="false">
      <c r="A187" s="23" t="n">
        <v>2014</v>
      </c>
      <c r="B187" s="23" t="s">
        <v>86</v>
      </c>
      <c r="C187" s="27" t="n">
        <v>11425489</v>
      </c>
    </row>
    <row r="188" customFormat="false" ht="15" hidden="false" customHeight="false" outlineLevel="0" collapsed="false">
      <c r="A188" s="23" t="n">
        <v>2014</v>
      </c>
      <c r="B188" s="23" t="s">
        <v>87</v>
      </c>
      <c r="C188" s="27" t="n">
        <v>11619226</v>
      </c>
    </row>
    <row r="189" customFormat="false" ht="15" hidden="false" customHeight="false" outlineLevel="0" collapsed="false">
      <c r="A189" s="23" t="n">
        <v>2014</v>
      </c>
      <c r="B189" s="23" t="s">
        <v>88</v>
      </c>
      <c r="C189" s="27" t="n">
        <v>11931518</v>
      </c>
    </row>
    <row r="190" customFormat="false" ht="15" hidden="false" customHeight="false" outlineLevel="0" collapsed="false">
      <c r="A190" s="23" t="n">
        <v>2014</v>
      </c>
      <c r="B190" s="23" t="s">
        <v>89</v>
      </c>
      <c r="C190" s="27" t="n">
        <v>12092014</v>
      </c>
    </row>
    <row r="191" customFormat="false" ht="15" hidden="false" customHeight="false" outlineLevel="0" collapsed="false">
      <c r="A191" s="23" t="n">
        <v>2014</v>
      </c>
      <c r="B191" s="23" t="s">
        <v>90</v>
      </c>
      <c r="C191" s="27" t="n">
        <v>12009343</v>
      </c>
    </row>
    <row r="192" customFormat="false" ht="15" hidden="false" customHeight="false" outlineLevel="0" collapsed="false">
      <c r="A192" s="23" t="n">
        <v>2014</v>
      </c>
      <c r="B192" s="23" t="s">
        <v>91</v>
      </c>
      <c r="C192" s="27" t="n">
        <v>11687921</v>
      </c>
    </row>
    <row r="193" customFormat="false" ht="15" hidden="false" customHeight="false" outlineLevel="0" collapsed="false">
      <c r="A193" s="23" t="n">
        <v>2014</v>
      </c>
      <c r="B193" s="23" t="s">
        <v>92</v>
      </c>
      <c r="C193" s="27" t="n">
        <v>11522679</v>
      </c>
    </row>
    <row r="194" customFormat="false" ht="15" hidden="false" customHeight="false" outlineLevel="0" collapsed="false">
      <c r="A194" s="23" t="n">
        <v>2014</v>
      </c>
      <c r="B194" s="23" t="s">
        <v>93</v>
      </c>
      <c r="C194" s="27" t="n">
        <v>11579605</v>
      </c>
    </row>
    <row r="195" customFormat="false" ht="15" hidden="false" customHeight="false" outlineLevel="0" collapsed="false">
      <c r="A195" s="23" t="n">
        <v>2014</v>
      </c>
      <c r="B195" s="23" t="s">
        <v>94</v>
      </c>
      <c r="C195" s="27" t="n">
        <v>11505020</v>
      </c>
    </row>
    <row r="196" customFormat="false" ht="15" hidden="false" customHeight="false" outlineLevel="0" collapsed="false">
      <c r="A196" s="23" t="n">
        <v>2015</v>
      </c>
      <c r="B196" s="23" t="s">
        <v>83</v>
      </c>
      <c r="C196" s="27" t="n">
        <v>11761160</v>
      </c>
    </row>
    <row r="197" customFormat="false" ht="15" hidden="false" customHeight="false" outlineLevel="0" collapsed="false">
      <c r="A197" s="23" t="n">
        <v>2015</v>
      </c>
      <c r="B197" s="23" t="s">
        <v>84</v>
      </c>
      <c r="C197" s="27" t="n">
        <v>12228889</v>
      </c>
    </row>
    <row r="198" customFormat="false" ht="15" hidden="false" customHeight="false" outlineLevel="0" collapsed="false">
      <c r="A198" s="23" t="n">
        <v>2015</v>
      </c>
      <c r="B198" s="23" t="s">
        <v>85</v>
      </c>
      <c r="C198" s="27" t="n">
        <v>11922209</v>
      </c>
    </row>
    <row r="199" customFormat="false" ht="15" hidden="false" customHeight="false" outlineLevel="0" collapsed="false">
      <c r="A199" s="23" t="n">
        <v>2015</v>
      </c>
      <c r="B199" s="23" t="s">
        <v>86</v>
      </c>
      <c r="C199" s="27" t="n">
        <v>12443595</v>
      </c>
    </row>
    <row r="200" customFormat="false" ht="15" hidden="false" customHeight="false" outlineLevel="0" collapsed="false">
      <c r="A200" s="23" t="n">
        <v>2015</v>
      </c>
      <c r="B200" s="23" t="s">
        <v>87</v>
      </c>
      <c r="C200" s="27" t="n">
        <v>12091656</v>
      </c>
    </row>
    <row r="201" customFormat="false" ht="15" hidden="false" customHeight="false" outlineLevel="0" collapsed="false">
      <c r="A201" s="23" t="n">
        <v>2015</v>
      </c>
      <c r="B201" s="23" t="s">
        <v>88</v>
      </c>
      <c r="C201" s="27" t="n">
        <v>11924832</v>
      </c>
    </row>
    <row r="202" customFormat="false" ht="15" hidden="false" customHeight="false" outlineLevel="0" collapsed="false">
      <c r="A202" s="23" t="n">
        <v>2015</v>
      </c>
      <c r="B202" s="23" t="s">
        <v>89</v>
      </c>
      <c r="C202" s="27" t="n">
        <v>12027662</v>
      </c>
    </row>
    <row r="203" customFormat="false" ht="15" hidden="false" customHeight="false" outlineLevel="0" collapsed="false">
      <c r="A203" s="23" t="n">
        <v>2015</v>
      </c>
      <c r="B203" s="23" t="s">
        <v>90</v>
      </c>
      <c r="C203" s="27" t="n">
        <v>11412737</v>
      </c>
    </row>
    <row r="204" customFormat="false" ht="15" hidden="false" customHeight="false" outlineLevel="0" collapsed="false">
      <c r="A204" s="23" t="n">
        <v>2015</v>
      </c>
      <c r="B204" s="23" t="s">
        <v>91</v>
      </c>
      <c r="C204" s="27" t="n">
        <v>11428937</v>
      </c>
    </row>
    <row r="205" customFormat="false" ht="15" hidden="false" customHeight="false" outlineLevel="0" collapsed="false">
      <c r="A205" s="23" t="n">
        <v>2015</v>
      </c>
      <c r="B205" s="23" t="s">
        <v>92</v>
      </c>
      <c r="C205" s="27" t="n">
        <v>12171139</v>
      </c>
    </row>
    <row r="206" customFormat="false" ht="15" hidden="false" customHeight="false" outlineLevel="0" collapsed="false">
      <c r="A206" s="23" t="n">
        <v>2015</v>
      </c>
      <c r="B206" s="23" t="s">
        <v>93</v>
      </c>
      <c r="C206" s="27" t="n">
        <v>11767211</v>
      </c>
    </row>
    <row r="207" customFormat="false" ht="15" hidden="false" customHeight="false" outlineLevel="0" collapsed="false">
      <c r="A207" s="23" t="n">
        <v>2015</v>
      </c>
      <c r="B207" s="23" t="s">
        <v>94</v>
      </c>
      <c r="C207" s="27" t="n">
        <v>11727560</v>
      </c>
    </row>
    <row r="208" customFormat="false" ht="15" hidden="false" customHeight="false" outlineLevel="0" collapsed="false">
      <c r="A208" s="23" t="n">
        <v>2016</v>
      </c>
      <c r="B208" s="23" t="s">
        <v>83</v>
      </c>
      <c r="C208" s="27" t="n">
        <v>14640469</v>
      </c>
    </row>
    <row r="209" customFormat="false" ht="15" hidden="false" customHeight="false" outlineLevel="0" collapsed="false">
      <c r="A209" s="23" t="n">
        <v>2016</v>
      </c>
      <c r="B209" s="23" t="s">
        <v>84</v>
      </c>
      <c r="C209" s="27" t="n">
        <v>14527098</v>
      </c>
    </row>
    <row r="210" customFormat="false" ht="15" hidden="false" customHeight="false" outlineLevel="0" collapsed="false">
      <c r="A210" s="23" t="n">
        <v>2016</v>
      </c>
      <c r="B210" s="23" t="s">
        <v>85</v>
      </c>
      <c r="C210" s="27" t="n">
        <v>15259928</v>
      </c>
    </row>
    <row r="211" customFormat="false" ht="15" hidden="false" customHeight="false" outlineLevel="0" collapsed="false">
      <c r="A211" s="23" t="n">
        <v>2016</v>
      </c>
      <c r="B211" s="23" t="s">
        <v>86</v>
      </c>
      <c r="C211" s="27" t="n">
        <v>15245520</v>
      </c>
    </row>
    <row r="212" customFormat="false" ht="15" hidden="false" customHeight="false" outlineLevel="0" collapsed="false">
      <c r="A212" s="23" t="n">
        <v>2016</v>
      </c>
      <c r="B212" s="23" t="s">
        <v>87</v>
      </c>
      <c r="C212" s="27" t="n">
        <v>15876945</v>
      </c>
    </row>
    <row r="213" customFormat="false" ht="15" hidden="false" customHeight="false" outlineLevel="0" collapsed="false">
      <c r="A213" s="23" t="n">
        <v>2016</v>
      </c>
      <c r="B213" s="23" t="s">
        <v>88</v>
      </c>
      <c r="C213" s="27" t="n">
        <v>15332580</v>
      </c>
    </row>
    <row r="214" customFormat="false" ht="15" hidden="false" customHeight="false" outlineLevel="0" collapsed="false">
      <c r="A214" s="23" t="n">
        <v>2016</v>
      </c>
      <c r="B214" s="23" t="s">
        <v>89</v>
      </c>
      <c r="C214" s="27" t="n">
        <v>15231158</v>
      </c>
    </row>
    <row r="215" customFormat="false" ht="15" hidden="false" customHeight="false" outlineLevel="0" collapsed="false">
      <c r="A215" s="23" t="n">
        <v>2016</v>
      </c>
      <c r="B215" s="23" t="s">
        <v>90</v>
      </c>
      <c r="C215" s="27" t="n">
        <v>15316333</v>
      </c>
    </row>
    <row r="216" customFormat="false" ht="15" hidden="false" customHeight="false" outlineLevel="0" collapsed="false">
      <c r="A216" s="23" t="n">
        <v>2016</v>
      </c>
      <c r="B216" s="23" t="s">
        <v>91</v>
      </c>
      <c r="C216" s="27" t="n">
        <v>15291035</v>
      </c>
    </row>
    <row r="217" customFormat="false" ht="15" hidden="false" customHeight="false" outlineLevel="0" collapsed="false">
      <c r="A217" s="23" t="n">
        <v>2016</v>
      </c>
      <c r="B217" s="23" t="s">
        <v>92</v>
      </c>
      <c r="C217" s="27" t="n">
        <v>13327118</v>
      </c>
    </row>
    <row r="218" customFormat="false" ht="15" hidden="false" customHeight="false" outlineLevel="0" collapsed="false">
      <c r="A218" s="23" t="n">
        <v>2016</v>
      </c>
      <c r="B218" s="23" t="s">
        <v>93</v>
      </c>
      <c r="C218" s="27" t="n">
        <v>13395412</v>
      </c>
    </row>
    <row r="219" customFormat="false" ht="15" hidden="false" customHeight="false" outlineLevel="0" collapsed="false">
      <c r="A219" s="23" t="n">
        <v>2016</v>
      </c>
      <c r="B219" s="23" t="s">
        <v>94</v>
      </c>
      <c r="C219" s="27" t="n">
        <v>13580619</v>
      </c>
    </row>
    <row r="220" customFormat="false" ht="15" hidden="false" customHeight="false" outlineLevel="0" collapsed="false">
      <c r="A220" s="23" t="n">
        <v>2017</v>
      </c>
      <c r="B220" s="23" t="s">
        <v>83</v>
      </c>
      <c r="C220" s="27" t="n">
        <v>13988069</v>
      </c>
    </row>
    <row r="221" customFormat="false" ht="15" hidden="false" customHeight="false" outlineLevel="0" collapsed="false">
      <c r="A221" s="23" t="n">
        <v>2017</v>
      </c>
      <c r="B221" s="23" t="s">
        <v>84</v>
      </c>
      <c r="C221" s="27" t="n">
        <v>13493843</v>
      </c>
    </row>
    <row r="222" customFormat="false" ht="15" hidden="false" customHeight="false" outlineLevel="0" collapsed="false">
      <c r="A222" s="23" t="n">
        <v>2017</v>
      </c>
      <c r="B222" s="23" t="s">
        <v>85</v>
      </c>
      <c r="C222" s="27" t="n">
        <v>13812008</v>
      </c>
    </row>
    <row r="223" customFormat="false" ht="15" hidden="false" customHeight="false" outlineLevel="0" collapsed="false">
      <c r="A223" s="23" t="n">
        <v>2017</v>
      </c>
      <c r="B223" s="23" t="s">
        <v>86</v>
      </c>
      <c r="C223" s="27" t="n">
        <v>14168559</v>
      </c>
    </row>
    <row r="224" customFormat="false" ht="15" hidden="false" customHeight="false" outlineLevel="0" collapsed="false">
      <c r="A224" s="23" t="n">
        <v>2017</v>
      </c>
      <c r="B224" s="23" t="s">
        <v>87</v>
      </c>
      <c r="C224" s="27" t="n">
        <v>14194004</v>
      </c>
    </row>
    <row r="225" customFormat="false" ht="15" hidden="false" customHeight="false" outlineLevel="0" collapsed="false">
      <c r="A225" s="23" t="n">
        <v>2017</v>
      </c>
      <c r="B225" s="23" t="s">
        <v>88</v>
      </c>
      <c r="C225" s="27" t="n">
        <v>13659576</v>
      </c>
    </row>
    <row r="226" customFormat="false" ht="15" hidden="false" customHeight="false" outlineLevel="0" collapsed="false">
      <c r="A226" s="23" t="n">
        <v>2017</v>
      </c>
      <c r="B226" s="23" t="s">
        <v>89</v>
      </c>
      <c r="C226" s="27" t="n">
        <v>14860787</v>
      </c>
    </row>
    <row r="227" customFormat="false" ht="15" hidden="false" customHeight="false" outlineLevel="0" collapsed="false">
      <c r="A227" s="23" t="n">
        <v>2017</v>
      </c>
      <c r="B227" s="23" t="s">
        <v>90</v>
      </c>
      <c r="C227" s="27" t="n">
        <v>15087541</v>
      </c>
    </row>
    <row r="228" customFormat="false" ht="15" hidden="false" customHeight="false" outlineLevel="0" collapsed="false">
      <c r="A228" s="23" t="n">
        <v>2017</v>
      </c>
      <c r="B228" s="23" t="s">
        <v>91</v>
      </c>
      <c r="C228" s="27" t="n">
        <v>15211020</v>
      </c>
    </row>
    <row r="229" customFormat="false" ht="15" hidden="false" customHeight="false" outlineLevel="0" collapsed="false">
      <c r="A229" s="23" t="n">
        <v>2017</v>
      </c>
      <c r="B229" s="23" t="s">
        <v>92</v>
      </c>
      <c r="C229" s="27" t="n">
        <v>16182626</v>
      </c>
    </row>
    <row r="230" customFormat="false" ht="15" hidden="false" customHeight="false" outlineLevel="0" collapsed="false">
      <c r="A230" s="23" t="n">
        <v>2017</v>
      </c>
      <c r="B230" s="23" t="s">
        <v>93</v>
      </c>
      <c r="C230" s="27" t="n">
        <v>15915026</v>
      </c>
    </row>
    <row r="231" customFormat="false" ht="15" hidden="false" customHeight="false" outlineLevel="0" collapsed="false">
      <c r="A231" s="23" t="n">
        <v>2017</v>
      </c>
      <c r="B231" s="23" t="s">
        <v>94</v>
      </c>
      <c r="C231" s="27" t="n">
        <v>15467873</v>
      </c>
    </row>
    <row r="232" customFormat="false" ht="15" hidden="false" customHeight="false" outlineLevel="0" collapsed="false">
      <c r="A232" s="23" t="n">
        <v>2018</v>
      </c>
      <c r="B232" s="23" t="s">
        <v>83</v>
      </c>
      <c r="C232" s="27" t="n">
        <v>15450739</v>
      </c>
    </row>
    <row r="233" customFormat="false" ht="15" hidden="false" customHeight="false" outlineLevel="0" collapsed="false">
      <c r="A233" s="23" t="n">
        <v>2018</v>
      </c>
      <c r="B233" s="23" t="s">
        <v>84</v>
      </c>
      <c r="C233" s="27" t="n">
        <v>14797933</v>
      </c>
    </row>
    <row r="234" customFormat="false" ht="15" hidden="false" customHeight="false" outlineLevel="0" collapsed="false">
      <c r="A234" s="23" t="n">
        <v>2018</v>
      </c>
      <c r="B234" s="23" t="s">
        <v>85</v>
      </c>
      <c r="C234" s="27" t="n">
        <v>14297242</v>
      </c>
    </row>
    <row r="235" customFormat="false" ht="15" hidden="false" customHeight="false" outlineLevel="0" collapsed="false">
      <c r="A235" s="23" t="n">
        <v>2018</v>
      </c>
      <c r="B235" s="23" t="s">
        <v>86</v>
      </c>
      <c r="C235" s="27" t="n">
        <v>14693395</v>
      </c>
    </row>
    <row r="236" customFormat="false" ht="15" hidden="false" customHeight="false" outlineLevel="0" collapsed="false">
      <c r="A236" s="23" t="n">
        <v>2018</v>
      </c>
      <c r="B236" s="23" t="s">
        <v>87</v>
      </c>
      <c r="C236" s="27" t="n">
        <v>14161331</v>
      </c>
    </row>
    <row r="237" customFormat="false" ht="15" hidden="false" customHeight="false" outlineLevel="0" collapsed="false">
      <c r="A237" s="23" t="n">
        <v>2018</v>
      </c>
      <c r="B237" s="23" t="s">
        <v>88</v>
      </c>
      <c r="C237" s="27" t="n">
        <v>14798587</v>
      </c>
    </row>
    <row r="238" customFormat="false" ht="15" hidden="false" customHeight="false" outlineLevel="0" collapsed="false">
      <c r="A238" s="23" t="n">
        <v>2018</v>
      </c>
      <c r="B238" s="23" t="s">
        <v>89</v>
      </c>
      <c r="C238" s="27" t="n">
        <v>14705660</v>
      </c>
    </row>
    <row r="239" customFormat="false" ht="15" hidden="false" customHeight="false" outlineLevel="0" collapsed="false">
      <c r="A239" s="23" t="n">
        <v>2018</v>
      </c>
      <c r="B239" s="23" t="s">
        <v>90</v>
      </c>
      <c r="C239" s="27" t="n">
        <v>14946205</v>
      </c>
    </row>
    <row r="240" customFormat="false" ht="15" hidden="false" customHeight="false" outlineLevel="0" collapsed="false">
      <c r="A240" s="23" t="n">
        <v>2018</v>
      </c>
      <c r="B240" s="23" t="s">
        <v>91</v>
      </c>
      <c r="C240" s="27" t="n">
        <v>14257561</v>
      </c>
    </row>
    <row r="241" customFormat="false" ht="15" hidden="false" customHeight="false" outlineLevel="0" collapsed="false">
      <c r="A241" s="23" t="n">
        <v>2018</v>
      </c>
      <c r="B241" s="23" t="s">
        <v>92</v>
      </c>
      <c r="C241" s="27" t="n">
        <v>13373700</v>
      </c>
    </row>
    <row r="242" customFormat="false" ht="15" hidden="false" customHeight="false" outlineLevel="0" collapsed="false">
      <c r="A242" s="23" t="n">
        <v>2018</v>
      </c>
      <c r="B242" s="23" t="s">
        <v>93</v>
      </c>
      <c r="C242" s="27" t="n">
        <v>12540287</v>
      </c>
    </row>
    <row r="243" customFormat="false" ht="15" hidden="false" customHeight="false" outlineLevel="0" collapsed="false">
      <c r="A243" s="23" t="n">
        <v>2018</v>
      </c>
      <c r="B243" s="23" t="s">
        <v>94</v>
      </c>
      <c r="C243" s="27" t="n">
        <v>12701949</v>
      </c>
    </row>
    <row r="244" customFormat="false" ht="15" hidden="false" customHeight="false" outlineLevel="0" collapsed="false">
      <c r="A244" s="23" t="n">
        <v>2019</v>
      </c>
      <c r="B244" s="23" t="s">
        <v>83</v>
      </c>
      <c r="C244" s="27" t="n">
        <v>12984660</v>
      </c>
    </row>
    <row r="245" customFormat="false" ht="15" hidden="false" customHeight="false" outlineLevel="0" collapsed="false">
      <c r="A245" s="23" t="n">
        <v>2019</v>
      </c>
      <c r="B245" s="23" t="s">
        <v>84</v>
      </c>
      <c r="C245" s="27" t="n">
        <v>15682849</v>
      </c>
    </row>
    <row r="246" customFormat="false" ht="15" hidden="false" customHeight="false" outlineLevel="0" collapsed="false">
      <c r="A246" s="23" t="n">
        <v>2019</v>
      </c>
      <c r="B246" s="23" t="s">
        <v>85</v>
      </c>
      <c r="C246" s="27" t="n">
        <v>16200948</v>
      </c>
    </row>
    <row r="247" customFormat="false" ht="15" hidden="false" customHeight="false" outlineLevel="0" collapsed="false">
      <c r="A247" s="23" t="n">
        <v>2019</v>
      </c>
      <c r="B247" s="23" t="s">
        <v>86</v>
      </c>
      <c r="C247" s="27" t="n">
        <v>16575536</v>
      </c>
    </row>
    <row r="248" customFormat="false" ht="15" hidden="false" customHeight="false" outlineLevel="0" collapsed="false">
      <c r="A248" s="23" t="n">
        <v>2019</v>
      </c>
      <c r="B248" s="23" t="s">
        <v>87</v>
      </c>
      <c r="C248" s="27" t="n">
        <v>15602634</v>
      </c>
    </row>
    <row r="249" customFormat="false" ht="15" hidden="false" customHeight="false" outlineLevel="0" collapsed="false">
      <c r="A249" s="23" t="n">
        <v>2019</v>
      </c>
      <c r="B249" s="23" t="s">
        <v>88</v>
      </c>
      <c r="C249" s="27" t="n">
        <v>16264479</v>
      </c>
    </row>
    <row r="250" customFormat="false" ht="15" hidden="false" customHeight="false" outlineLevel="0" collapsed="false">
      <c r="A250" s="23" t="n">
        <v>2019</v>
      </c>
      <c r="B250" s="23" t="s">
        <v>89</v>
      </c>
      <c r="C250" s="27" t="n">
        <v>16295066</v>
      </c>
    </row>
    <row r="251" customFormat="false" ht="15" hidden="false" customHeight="false" outlineLevel="0" collapsed="false">
      <c r="A251" s="23" t="n">
        <v>2019</v>
      </c>
      <c r="B251" s="23" t="s">
        <v>90</v>
      </c>
      <c r="C251" s="27" t="n">
        <v>16054475</v>
      </c>
    </row>
    <row r="252" customFormat="false" ht="15" hidden="false" customHeight="false" outlineLevel="0" collapsed="false">
      <c r="A252" s="23" t="n">
        <v>2019</v>
      </c>
      <c r="B252" s="23" t="s">
        <v>91</v>
      </c>
      <c r="C252" s="27" t="n">
        <v>17516932</v>
      </c>
    </row>
    <row r="253" customFormat="false" ht="15" hidden="false" customHeight="false" outlineLevel="0" collapsed="false">
      <c r="A253" s="23" t="n">
        <v>2019</v>
      </c>
      <c r="B253" s="23" t="s">
        <v>92</v>
      </c>
      <c r="C253" s="27" t="n">
        <v>17262212</v>
      </c>
    </row>
    <row r="254" customFormat="false" ht="15" hidden="false" customHeight="false" outlineLevel="0" collapsed="false">
      <c r="A254" s="23" t="n">
        <v>2019</v>
      </c>
      <c r="B254" s="23" t="s">
        <v>93</v>
      </c>
      <c r="C254" s="27" t="n">
        <v>17048954</v>
      </c>
    </row>
    <row r="255" customFormat="false" ht="15" hidden="false" customHeight="false" outlineLevel="0" collapsed="false">
      <c r="A255" s="23" t="n">
        <v>2019</v>
      </c>
      <c r="B255" s="23" t="s">
        <v>94</v>
      </c>
      <c r="C255" s="27" t="n">
        <v>17459094</v>
      </c>
    </row>
    <row r="256" customFormat="false" ht="15" hidden="false" customHeight="false" outlineLevel="0" collapsed="false">
      <c r="A256" s="23" t="n">
        <v>2020</v>
      </c>
      <c r="B256" s="23" t="s">
        <v>83</v>
      </c>
      <c r="C256" s="27" t="n">
        <v>17408280</v>
      </c>
    </row>
    <row r="257" customFormat="false" ht="15" hidden="false" customHeight="false" outlineLevel="0" collapsed="false">
      <c r="A257" s="23" t="n">
        <v>2020</v>
      </c>
      <c r="B257" s="23" t="s">
        <v>84</v>
      </c>
      <c r="C257" s="27" t="n">
        <v>15794044</v>
      </c>
    </row>
    <row r="258" customFormat="false" ht="15" hidden="false" customHeight="false" outlineLevel="0" collapsed="false">
      <c r="A258" s="23" t="n">
        <v>2020</v>
      </c>
      <c r="B258" s="23" t="s">
        <v>85</v>
      </c>
      <c r="C258" s="27" t="n">
        <v>14494674</v>
      </c>
    </row>
    <row r="259" customFormat="false" ht="15" hidden="false" customHeight="false" outlineLevel="0" collapsed="false">
      <c r="A259" s="23" t="n">
        <v>2020</v>
      </c>
      <c r="B259" s="23" t="s">
        <v>86</v>
      </c>
      <c r="C259" s="27" t="n">
        <v>16121825</v>
      </c>
    </row>
    <row r="260" customFormat="false" ht="15" hidden="false" customHeight="false" outlineLevel="0" collapsed="false">
      <c r="A260" s="23" t="n">
        <v>2020</v>
      </c>
      <c r="B260" s="23" t="s">
        <v>87</v>
      </c>
      <c r="C260" s="27" t="n">
        <v>16100747</v>
      </c>
    </row>
    <row r="261" customFormat="false" ht="15" hidden="false" customHeight="false" outlineLevel="0" collapsed="false">
      <c r="A261" s="23" t="n">
        <v>2020</v>
      </c>
      <c r="B261" s="23" t="s">
        <v>88</v>
      </c>
      <c r="C261" s="27" t="n">
        <v>16945028</v>
      </c>
    </row>
    <row r="262" customFormat="false" ht="15" hidden="false" customHeight="false" outlineLevel="0" collapsed="false">
      <c r="A262" s="23" t="n">
        <v>2020</v>
      </c>
      <c r="B262" s="23" t="s">
        <v>89</v>
      </c>
      <c r="C262" s="27" t="n">
        <v>17172006</v>
      </c>
    </row>
    <row r="263" customFormat="false" ht="15" hidden="false" customHeight="false" outlineLevel="0" collapsed="false">
      <c r="A263" s="23" t="n">
        <v>2020</v>
      </c>
      <c r="B263" s="23" t="s">
        <v>90</v>
      </c>
      <c r="C263" s="27" t="n">
        <v>17264866</v>
      </c>
    </row>
    <row r="264" customFormat="false" ht="15" hidden="false" customHeight="false" outlineLevel="0" collapsed="false">
      <c r="A264" s="23" t="n">
        <v>2020</v>
      </c>
      <c r="B264" s="23" t="s">
        <v>91</v>
      </c>
      <c r="C264" s="27" t="n">
        <v>16489518</v>
      </c>
    </row>
    <row r="265" customFormat="false" ht="15" hidden="false" customHeight="false" outlineLevel="0" collapsed="false">
      <c r="A265" s="23" t="n">
        <v>2020</v>
      </c>
      <c r="B265" s="23" t="s">
        <v>92</v>
      </c>
      <c r="C265" s="27" t="n">
        <v>15795124</v>
      </c>
    </row>
    <row r="266" customFormat="false" ht="15" hidden="false" customHeight="false" outlineLevel="0" collapsed="false">
      <c r="A266" s="23" t="n">
        <v>2020</v>
      </c>
      <c r="B266" s="23" t="s">
        <v>93</v>
      </c>
      <c r="C266" s="27" t="n">
        <v>17420448</v>
      </c>
    </row>
    <row r="267" customFormat="false" ht="15" hidden="false" customHeight="false" outlineLevel="0" collapsed="false">
      <c r="A267" s="23" t="n">
        <v>2020</v>
      </c>
      <c r="B267" s="23" t="s">
        <v>94</v>
      </c>
      <c r="C267" s="27" t="n">
        <v>17874362</v>
      </c>
    </row>
    <row r="268" customFormat="false" ht="15" hidden="false" customHeight="false" outlineLevel="0" collapsed="false">
      <c r="A268" s="23" t="n">
        <v>2021</v>
      </c>
      <c r="B268" s="23" t="s">
        <v>83</v>
      </c>
      <c r="C268" s="27" t="n">
        <v>18512268</v>
      </c>
    </row>
    <row r="269" customFormat="false" ht="15" hidden="false" customHeight="false" outlineLevel="0" collapsed="false">
      <c r="A269" s="23" t="n">
        <v>2021</v>
      </c>
      <c r="B269" s="23" t="s">
        <v>84</v>
      </c>
      <c r="C269" s="27" t="n">
        <v>19064272</v>
      </c>
    </row>
    <row r="270" customFormat="false" ht="15" hidden="false" customHeight="false" outlineLevel="0" collapsed="false">
      <c r="A270" s="23" t="n">
        <v>2021</v>
      </c>
      <c r="B270" s="23" t="s">
        <v>85</v>
      </c>
      <c r="C270" s="27" t="n">
        <v>19232518</v>
      </c>
    </row>
    <row r="271" customFormat="false" ht="15" hidden="false" customHeight="false" outlineLevel="0" collapsed="false">
      <c r="A271" s="23" t="n">
        <v>2021</v>
      </c>
      <c r="B271" s="23" t="s">
        <v>86</v>
      </c>
      <c r="C271" s="27" t="n">
        <v>19327544</v>
      </c>
    </row>
    <row r="272" customFormat="false" ht="15" hidden="false" customHeight="false" outlineLevel="0" collapsed="false">
      <c r="A272" s="23" t="n">
        <v>2021</v>
      </c>
      <c r="B272" s="23" t="s">
        <v>87</v>
      </c>
      <c r="C272" s="27" t="n">
        <v>19035676</v>
      </c>
    </row>
    <row r="273" customFormat="false" ht="15" hidden="false" customHeight="false" outlineLevel="0" collapsed="false">
      <c r="A273" s="23" t="n">
        <v>2021</v>
      </c>
      <c r="B273" s="23" t="s">
        <v>88</v>
      </c>
      <c r="C273" s="27" t="n">
        <v>18780438</v>
      </c>
    </row>
    <row r="274" customFormat="false" ht="15" hidden="false" customHeight="false" outlineLevel="0" collapsed="false">
      <c r="A274" s="23" t="n">
        <v>2021</v>
      </c>
      <c r="B274" s="23" t="s">
        <v>89</v>
      </c>
      <c r="C274" s="27" t="n">
        <v>18957914</v>
      </c>
    </row>
    <row r="275" customFormat="false" ht="15" hidden="false" customHeight="false" outlineLevel="0" collapsed="false">
      <c r="A275" s="23" t="n">
        <v>2021</v>
      </c>
      <c r="B275" s="23" t="s">
        <v>90</v>
      </c>
      <c r="C275" s="27" t="n">
        <v>19215110</v>
      </c>
    </row>
    <row r="276" customFormat="false" ht="15" hidden="false" customHeight="false" outlineLevel="0" collapsed="false">
      <c r="A276" s="23" t="n">
        <v>2021</v>
      </c>
      <c r="B276" s="23" t="s">
        <v>91</v>
      </c>
      <c r="C276" s="27" t="n">
        <v>18487850</v>
      </c>
    </row>
    <row r="277" customFormat="false" ht="15" hidden="false" customHeight="false" outlineLevel="0" collapsed="false">
      <c r="A277" s="23" t="n">
        <v>2021</v>
      </c>
      <c r="B277" s="23" t="s">
        <v>92</v>
      </c>
      <c r="C277" s="27" t="n">
        <v>19490316</v>
      </c>
    </row>
    <row r="278" customFormat="false" ht="15" hidden="false" customHeight="false" outlineLevel="0" collapsed="false">
      <c r="A278" s="23" t="n">
        <v>2021</v>
      </c>
      <c r="B278" s="23" t="s">
        <v>93</v>
      </c>
      <c r="C278" s="27" t="n">
        <v>19698954</v>
      </c>
    </row>
    <row r="279" customFormat="false" ht="15" hidden="false" customHeight="false" outlineLevel="0" collapsed="false">
      <c r="A279" s="23" t="n">
        <v>2021</v>
      </c>
      <c r="B279" s="23" t="s">
        <v>94</v>
      </c>
      <c r="C279" s="27" t="n">
        <v>20520438</v>
      </c>
    </row>
    <row r="280" customFormat="false" ht="15" hidden="false" customHeight="false" outlineLevel="0" collapsed="false">
      <c r="A280" s="23" t="n">
        <v>2022</v>
      </c>
      <c r="B280" s="23" t="s">
        <v>83</v>
      </c>
      <c r="C280" s="27" t="n">
        <v>23186672</v>
      </c>
    </row>
    <row r="281" customFormat="false" ht="15" hidden="false" customHeight="false" outlineLevel="0" collapsed="false">
      <c r="A281" s="23" t="n">
        <v>2022</v>
      </c>
      <c r="B281" s="23" t="s">
        <v>84</v>
      </c>
      <c r="C281" s="27" t="n">
        <v>22015358</v>
      </c>
    </row>
    <row r="282" customFormat="false" ht="15" hidden="false" customHeight="false" outlineLevel="0" collapsed="false">
      <c r="A282" s="23" t="n">
        <v>2022</v>
      </c>
      <c r="B282" s="23" t="s">
        <v>85</v>
      </c>
      <c r="C282" s="27" t="n">
        <v>21635576</v>
      </c>
    </row>
    <row r="283" customFormat="false" ht="15" hidden="false" customHeight="false" outlineLevel="0" collapsed="false">
      <c r="A283" s="23" t="n">
        <v>2022</v>
      </c>
      <c r="B283" s="23" t="s">
        <v>86</v>
      </c>
      <c r="C283" s="27" t="n">
        <v>21034438</v>
      </c>
    </row>
    <row r="284" customFormat="false" ht="15" hidden="false" customHeight="false" outlineLevel="0" collapsed="false">
      <c r="A284" s="23" t="n">
        <v>2022</v>
      </c>
      <c r="B284" s="23" t="s">
        <v>87</v>
      </c>
      <c r="C284" s="27" t="n">
        <v>20863802</v>
      </c>
    </row>
    <row r="285" customFormat="false" ht="15" hidden="false" customHeight="false" outlineLevel="0" collapsed="false">
      <c r="A285" s="23" t="n">
        <v>2022</v>
      </c>
      <c r="B285" s="23" t="s">
        <v>88</v>
      </c>
      <c r="C285" s="27" t="n">
        <v>20033242</v>
      </c>
    </row>
    <row r="286" customFormat="false" ht="15" hidden="false" customHeight="false" outlineLevel="0" collapsed="false">
      <c r="A286" s="23" t="n">
        <v>2022</v>
      </c>
      <c r="B286" s="23" t="s">
        <v>89</v>
      </c>
      <c r="C286" s="27" t="n">
        <v>19884050</v>
      </c>
    </row>
    <row r="287" customFormat="false" ht="15" hidden="false" customHeight="false" outlineLevel="0" collapsed="false">
      <c r="A287" s="23" t="n">
        <v>2022</v>
      </c>
      <c r="B287" s="23" t="s">
        <v>90</v>
      </c>
      <c r="C287" s="27" t="n">
        <v>19402636</v>
      </c>
    </row>
    <row r="288" customFormat="false" ht="15" hidden="false" customHeight="false" outlineLevel="0" collapsed="false">
      <c r="A288" s="23" t="n">
        <v>2022</v>
      </c>
      <c r="B288" s="23" t="s">
        <v>91</v>
      </c>
      <c r="C288" s="27" t="n">
        <v>18495422</v>
      </c>
    </row>
    <row r="289" customFormat="false" ht="15" hidden="false" customHeight="false" outlineLevel="0" collapsed="false">
      <c r="A289" s="23" t="n">
        <v>2022</v>
      </c>
      <c r="B289" s="23" t="s">
        <v>92</v>
      </c>
      <c r="C289" s="27" t="n">
        <v>19233600</v>
      </c>
    </row>
    <row r="290" customFormat="false" ht="15" hidden="false" customHeight="false" outlineLevel="0" collapsed="false">
      <c r="A290" s="23" t="n">
        <v>2022</v>
      </c>
      <c r="B290" s="23" t="s">
        <v>93</v>
      </c>
      <c r="C290" s="27" t="n">
        <v>21532828</v>
      </c>
    </row>
    <row r="291" customFormat="false" ht="15" hidden="false" customHeight="false" outlineLevel="0" collapsed="false">
      <c r="A291" s="23" t="n">
        <v>2022</v>
      </c>
      <c r="B291" s="23" t="s">
        <v>94</v>
      </c>
      <c r="C291" s="27" t="n">
        <v>21356714</v>
      </c>
    </row>
    <row r="292" customFormat="false" ht="15" hidden="false" customHeight="false" outlineLevel="0" collapsed="false">
      <c r="A292" s="23" t="n">
        <v>2023</v>
      </c>
      <c r="B292" s="23" t="s">
        <v>83</v>
      </c>
      <c r="C292" s="27" t="n">
        <v>23009364</v>
      </c>
    </row>
    <row r="293" customFormat="false" ht="15" hidden="false" customHeight="false" outlineLevel="0" collapsed="false">
      <c r="A293" s="23" t="n">
        <v>2023</v>
      </c>
      <c r="B293" s="23" t="s">
        <v>84</v>
      </c>
      <c r="C293" s="27" t="n">
        <v>22508480</v>
      </c>
    </row>
    <row r="294" customFormat="false" ht="15" hidden="false" customHeight="false" outlineLevel="0" collapsed="false">
      <c r="A294" s="23" t="n">
        <v>2023</v>
      </c>
      <c r="B294" s="23" t="s">
        <v>85</v>
      </c>
      <c r="C294" s="27" t="n">
        <v>22217312</v>
      </c>
    </row>
    <row r="295" customFormat="false" ht="15" hidden="false" customHeight="false" outlineLevel="0" collapsed="false">
      <c r="A295" s="23" t="n">
        <v>2023</v>
      </c>
      <c r="B295" s="23" t="s">
        <v>86</v>
      </c>
      <c r="C295" s="27" t="n">
        <v>22417296</v>
      </c>
    </row>
    <row r="296" customFormat="false" ht="15" hidden="false" customHeight="false" outlineLevel="0" collapsed="false">
      <c r="A296" s="23" t="n">
        <v>2023</v>
      </c>
      <c r="B296" s="23" t="s">
        <v>87</v>
      </c>
      <c r="C296" s="27" t="n">
        <v>21295160</v>
      </c>
    </row>
    <row r="297" customFormat="false" ht="15" hidden="false" customHeight="false" outlineLevel="0" collapsed="false">
      <c r="A297" s="23" t="n">
        <v>2023</v>
      </c>
      <c r="B297" s="23" t="s">
        <v>88</v>
      </c>
      <c r="C297" s="27" t="n">
        <v>21938328</v>
      </c>
    </row>
    <row r="298" customFormat="false" ht="15" hidden="false" customHeight="false" outlineLevel="0" collapsed="false">
      <c r="A298" s="23" t="n">
        <v>2023</v>
      </c>
      <c r="B298" s="23" t="s">
        <v>89</v>
      </c>
      <c r="C298" s="27" t="n">
        <v>21924556</v>
      </c>
    </row>
    <row r="299" customFormat="false" ht="15" hidden="false" customHeight="false" outlineLevel="0" collapsed="false">
      <c r="A299" s="23" t="n">
        <v>2023</v>
      </c>
      <c r="B299" s="23" t="s">
        <v>90</v>
      </c>
      <c r="C299" s="27" t="n">
        <v>20866438</v>
      </c>
    </row>
    <row r="300" customFormat="false" ht="15" hidden="false" customHeight="false" outlineLevel="0" collapsed="false">
      <c r="A300" s="23" t="n">
        <v>2023</v>
      </c>
      <c r="B300" s="23" t="s">
        <v>91</v>
      </c>
      <c r="C300" s="27" t="n">
        <v>18530398</v>
      </c>
    </row>
    <row r="301" customFormat="false" ht="15" hidden="false" customHeight="false" outlineLevel="0" collapsed="false">
      <c r="A301" s="23" t="n">
        <v>2023</v>
      </c>
      <c r="B301" s="23" t="s">
        <v>92</v>
      </c>
      <c r="C301" s="27" t="n">
        <v>17050094</v>
      </c>
    </row>
    <row r="302" customFormat="false" ht="15" hidden="false" customHeight="false" outlineLevel="0" collapsed="false">
      <c r="A302" s="23" t="n">
        <v>2023</v>
      </c>
      <c r="B302" s="23" t="s">
        <v>93</v>
      </c>
      <c r="C302" s="27" t="n">
        <v>18592388</v>
      </c>
    </row>
    <row r="303" customFormat="false" ht="15" hidden="false" customHeight="false" outlineLevel="0" collapsed="false">
      <c r="A303" s="23" t="n">
        <v>2023</v>
      </c>
      <c r="B303" s="23" t="s">
        <v>94</v>
      </c>
      <c r="C303" s="27" t="n">
        <v>19023628</v>
      </c>
    </row>
    <row r="304" customFormat="false" ht="15" hidden="false" customHeight="false" outlineLevel="0" collapsed="false">
      <c r="A304" s="23" t="n">
        <v>2024</v>
      </c>
      <c r="B304" s="23" t="s">
        <v>83</v>
      </c>
      <c r="C304" s="27" t="n">
        <v>18405022</v>
      </c>
    </row>
    <row r="305" customFormat="false" ht="15" hidden="false" customHeight="false" outlineLevel="0" collapsed="false">
      <c r="A305" s="23" t="n">
        <v>2024</v>
      </c>
      <c r="B305" s="23" t="s">
        <v>84</v>
      </c>
      <c r="C305" s="27" t="n">
        <v>18117464</v>
      </c>
    </row>
    <row r="306" customFormat="false" ht="15" hidden="false" customHeight="false" outlineLevel="0" collapsed="false">
      <c r="A306" s="23" t="n">
        <v>2024</v>
      </c>
      <c r="B306" s="23" t="s">
        <v>85</v>
      </c>
      <c r="C306" s="27" t="n">
        <v>18372414</v>
      </c>
    </row>
    <row r="307" customFormat="false" ht="15" hidden="false" customHeight="false" outlineLevel="0" collapsed="false">
      <c r="A307" s="23" t="n">
        <v>2024</v>
      </c>
      <c r="B307" s="23" t="s">
        <v>86</v>
      </c>
      <c r="C307" s="27" t="n">
        <v>18471416</v>
      </c>
    </row>
    <row r="308" customFormat="false" ht="15" hidden="false" customHeight="false" outlineLevel="0" collapsed="false">
      <c r="A308" s="23" t="n">
        <v>2024</v>
      </c>
      <c r="B308" s="23" t="s">
        <v>87</v>
      </c>
      <c r="C308" s="27" t="n">
        <v>19115536</v>
      </c>
    </row>
    <row r="309" customFormat="false" ht="15" hidden="false" customHeight="false" outlineLevel="0" collapsed="false">
      <c r="A309" s="23" t="n">
        <v>2024</v>
      </c>
      <c r="B309" s="23" t="s">
        <v>88</v>
      </c>
      <c r="C309" s="27" t="n">
        <v>18735488</v>
      </c>
    </row>
    <row r="310" customFormat="false" ht="15" hidden="false" customHeight="false" outlineLevel="0" collapsed="false">
      <c r="A310" s="23" t="n">
        <v>2024</v>
      </c>
      <c r="B310" s="23" t="s">
        <v>89</v>
      </c>
      <c r="C310" s="27" t="n">
        <v>19002760</v>
      </c>
    </row>
    <row r="311" customFormat="false" ht="15" hidden="false" customHeight="false" outlineLevel="0" collapsed="false">
      <c r="A311" s="23" t="n">
        <v>2024</v>
      </c>
      <c r="B311" s="23" t="s">
        <v>90</v>
      </c>
      <c r="C311" s="27" t="n">
        <v>18868206</v>
      </c>
    </row>
    <row r="312" customFormat="false" ht="15" hidden="false" customHeight="false" outlineLevel="0" collapsed="false">
      <c r="A312" s="23" t="n">
        <v>2024</v>
      </c>
      <c r="B312" s="23" t="s">
        <v>91</v>
      </c>
      <c r="C312" s="27" t="n">
        <v>19713646</v>
      </c>
    </row>
    <row r="313" customFormat="false" ht="15" hidden="false" customHeight="false" outlineLevel="0" collapsed="false">
      <c r="A313" s="23" t="n">
        <v>2024</v>
      </c>
      <c r="B313" s="23" t="s">
        <v>92</v>
      </c>
      <c r="C313" s="27" t="n">
        <v>19405898</v>
      </c>
    </row>
    <row r="314" customFormat="false" ht="15" hidden="false" customHeight="false" outlineLevel="0" collapsed="false">
      <c r="A314" s="23" t="n">
        <v>2024</v>
      </c>
      <c r="B314" s="23" t="s">
        <v>93</v>
      </c>
      <c r="C314" s="27" t="n">
        <v>19267506</v>
      </c>
    </row>
    <row r="315" customFormat="false" ht="15" hidden="false" customHeight="false" outlineLevel="0" collapsed="false">
      <c r="A315" s="23" t="n">
        <v>2024</v>
      </c>
      <c r="B315" s="23" t="s">
        <v>94</v>
      </c>
      <c r="C315" s="27" t="n">
        <v>19239200</v>
      </c>
    </row>
    <row r="316" customFormat="false" ht="15" hidden="false" customHeight="false" outlineLevel="0" collapsed="false">
      <c r="A316" s="23" t="n">
        <v>2025</v>
      </c>
      <c r="B316" s="23" t="s">
        <v>83</v>
      </c>
      <c r="C316" s="27" t="n">
        <v>19866510</v>
      </c>
    </row>
    <row r="317" customFormat="false" ht="15" hidden="false" customHeight="false" outlineLevel="0" collapsed="false">
      <c r="A317" s="23" t="n">
        <v>2025</v>
      </c>
      <c r="B317" s="23" t="s">
        <v>84</v>
      </c>
      <c r="C317" s="27" t="n">
        <v>20180750</v>
      </c>
    </row>
    <row r="318" customFormat="false" ht="15" hidden="false" customHeight="false" outlineLevel="0" collapsed="false">
      <c r="A318" s="23" t="n">
        <v>2025</v>
      </c>
      <c r="B318" s="23" t="s">
        <v>85</v>
      </c>
      <c r="C318" s="27" t="n">
        <v>20012086</v>
      </c>
    </row>
    <row r="319" customFormat="false" ht="15" hidden="false" customHeight="false" outlineLevel="0" collapsed="false">
      <c r="A319" s="23" t="n">
        <v>2025</v>
      </c>
      <c r="B319" s="23" t="s">
        <v>86</v>
      </c>
      <c r="C319" s="27" t="n">
        <v>20523992</v>
      </c>
    </row>
    <row r="320" customFormat="false" ht="15" hidden="false" customHeight="false" outlineLevel="0" collapsed="false">
      <c r="A320" s="23" t="n">
        <v>2025</v>
      </c>
      <c r="B320" s="23" t="s">
        <v>87</v>
      </c>
      <c r="C320" s="27" t="n">
        <v>21246372</v>
      </c>
    </row>
    <row r="321" customFormat="false" ht="15" hidden="false" customHeight="false" outlineLevel="0" collapsed="false">
      <c r="A321" s="23" t="n">
        <v>2025</v>
      </c>
      <c r="B321" s="23" t="s">
        <v>88</v>
      </c>
      <c r="C321" s="27" t="n">
        <v>21435480</v>
      </c>
    </row>
    <row r="322" customFormat="false" ht="15" hidden="false" customHeight="false" outlineLevel="0" collapsed="false">
      <c r="A322" s="23" t="n">
        <v>2025</v>
      </c>
      <c r="B322" s="23" t="s">
        <v>89</v>
      </c>
      <c r="C322" s="27" t="n">
        <v>21706072</v>
      </c>
    </row>
    <row r="323" customFormat="false" ht="15" hidden="false" customHeight="false" outlineLevel="0" collapsed="false">
      <c r="A323" s="23" t="n">
        <v>2025</v>
      </c>
      <c r="B323" s="23" t="s">
        <v>90</v>
      </c>
      <c r="C323" s="27" t="n">
        <v>22581248</v>
      </c>
    </row>
    <row r="324" customFormat="false" ht="15" hidden="false" customHeight="false" outlineLevel="0" collapsed="false">
      <c r="A324" s="23" t="n">
        <v>2025</v>
      </c>
      <c r="B324" s="23" t="s">
        <v>91</v>
      </c>
      <c r="C324" s="27" t="n">
        <v>23168258</v>
      </c>
    </row>
    <row r="325" customFormat="false" ht="15" hidden="false" customHeight="false" outlineLevel="0" collapsed="false">
      <c r="A325" s="23" t="n">
        <v>2025</v>
      </c>
      <c r="B325" s="23" t="s">
        <v>92</v>
      </c>
      <c r="C325" s="27" t="n">
        <v>23475398</v>
      </c>
    </row>
    <row r="326" customFormat="false" ht="15" hidden="false" customHeight="false" outlineLevel="0" collapsed="false">
      <c r="A326" s="23" t="n">
        <v>2025</v>
      </c>
      <c r="B326" s="23" t="s">
        <v>93</v>
      </c>
      <c r="C326" s="27" t="n">
        <v>23527050</v>
      </c>
    </row>
    <row r="327" customFormat="false" ht="15" hidden="false" customHeight="false" outlineLevel="0" collapsed="false">
      <c r="A327" s="23" t="n">
        <v>2025</v>
      </c>
      <c r="B327" s="23" t="s">
        <v>94</v>
      </c>
      <c r="C327" s="27" t="n">
        <v>24187552</v>
      </c>
    </row>
    <row r="328" customFormat="false" ht="15" hidden="false" customHeight="false" outlineLevel="0" collapsed="false">
      <c r="A328" s="23" t="n">
        <v>2026</v>
      </c>
      <c r="B328" s="23" t="s">
        <v>83</v>
      </c>
      <c r="C328" s="27" t="n">
        <v>24327752</v>
      </c>
    </row>
    <row r="329" customFormat="false" ht="15" hidden="false" customHeight="false" outlineLevel="0" collapsed="false">
      <c r="A329" s="23" t="n">
        <v>2026</v>
      </c>
      <c r="B329" s="23" t="s">
        <v>84</v>
      </c>
      <c r="C329" s="27" t="n">
        <v>25859464</v>
      </c>
    </row>
    <row r="330" customFormat="false" ht="15" hidden="false" customHeight="false" outlineLevel="0" collapsed="false">
      <c r="A330" s="23" t="n">
        <v>2026</v>
      </c>
      <c r="B330" s="23" t="s">
        <v>85</v>
      </c>
      <c r="C330" s="27" t="n">
        <v>23880946</v>
      </c>
    </row>
    <row r="331" customFormat="false" ht="15" hidden="false" customHeight="false" outlineLevel="0" collapsed="false">
      <c r="A331" s="23" t="n">
        <v>2026</v>
      </c>
      <c r="B331" s="23" t="s">
        <v>86</v>
      </c>
      <c r="C331" s="27" t="n">
        <v>24528982</v>
      </c>
    </row>
    <row r="332" customFormat="false" ht="15" hidden="false" customHeight="false" outlineLevel="0" collapsed="false">
      <c r="A332" s="23" t="n">
        <v>2026</v>
      </c>
      <c r="B332" s="23" t="s">
        <v>87</v>
      </c>
      <c r="C332" s="27" t="n">
        <v>24970792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45"/>
  </cols>
  <sheetData>
    <row r="1" customFormat="false" ht="15" hidden="false" customHeight="false" outlineLevel="0" collapsed="false">
      <c r="A1" s="21" t="s">
        <v>114</v>
      </c>
      <c r="B1" s="21"/>
      <c r="C1" s="21"/>
      <c r="D1" s="21"/>
    </row>
    <row r="3" customFormat="false" ht="23.85" hidden="false" customHeight="false" outlineLevel="0" collapsed="false">
      <c r="A3" s="22" t="s">
        <v>2</v>
      </c>
      <c r="B3" s="22" t="s">
        <v>115</v>
      </c>
      <c r="C3" s="22" t="s">
        <v>109</v>
      </c>
      <c r="D3" s="22" t="s">
        <v>78</v>
      </c>
    </row>
    <row r="4" customFormat="false" ht="15" hidden="false" customHeight="false" outlineLevel="0" collapsed="false">
      <c r="A4" s="28" t="n">
        <v>1999</v>
      </c>
      <c r="B4" s="29" t="s">
        <v>12</v>
      </c>
      <c r="C4" s="30" t="s">
        <v>116</v>
      </c>
      <c r="D4" s="25" t="s">
        <v>117</v>
      </c>
    </row>
    <row r="5" customFormat="false" ht="15" hidden="false" customHeight="false" outlineLevel="0" collapsed="false">
      <c r="A5" s="28" t="n">
        <v>2000</v>
      </c>
      <c r="B5" s="29" t="s">
        <v>12</v>
      </c>
      <c r="C5" s="30" t="s">
        <v>116</v>
      </c>
      <c r="D5" s="25" t="s">
        <v>117</v>
      </c>
    </row>
    <row r="6" customFormat="false" ht="15" hidden="false" customHeight="false" outlineLevel="0" collapsed="false">
      <c r="A6" s="28" t="n">
        <v>2001</v>
      </c>
      <c r="B6" s="29" t="s">
        <v>12</v>
      </c>
      <c r="C6" s="30" t="s">
        <v>116</v>
      </c>
      <c r="D6" s="25" t="s">
        <v>117</v>
      </c>
    </row>
    <row r="7" customFormat="false" ht="15" hidden="false" customHeight="false" outlineLevel="0" collapsed="false">
      <c r="A7" s="24" t="n">
        <v>2002</v>
      </c>
      <c r="B7" s="24" t="n">
        <f aca="false">AVERAGE(ALSI_Monthly!B4:B10)</f>
        <v>9608.07571428572</v>
      </c>
      <c r="C7" s="24" t="s">
        <v>118</v>
      </c>
      <c r="D7" s="25" t="s">
        <v>119</v>
      </c>
    </row>
    <row r="8" customFormat="false" ht="15" hidden="false" customHeight="false" outlineLevel="0" collapsed="false">
      <c r="A8" s="23" t="n">
        <v>2003</v>
      </c>
      <c r="B8" s="23" t="n">
        <f aca="false">AVERAGE(ALSI_Monthly!B11:B22)</f>
        <v>8845.9075</v>
      </c>
      <c r="C8" s="23" t="s">
        <v>120</v>
      </c>
    </row>
    <row r="9" customFormat="false" ht="15" hidden="false" customHeight="false" outlineLevel="0" collapsed="false">
      <c r="A9" s="23" t="n">
        <v>2004</v>
      </c>
      <c r="B9" s="23" t="n">
        <f aca="false">AVERAGE(ALSI_Monthly!B23:B34)</f>
        <v>11114.6816666667</v>
      </c>
      <c r="C9" s="23" t="s">
        <v>120</v>
      </c>
    </row>
    <row r="10" customFormat="false" ht="15" hidden="false" customHeight="false" outlineLevel="0" collapsed="false">
      <c r="A10" s="23" t="n">
        <v>2005</v>
      </c>
      <c r="B10" s="23" t="n">
        <f aca="false">AVERAGE(ALSI_Monthly!B35:B46)</f>
        <v>14900.7425</v>
      </c>
      <c r="C10" s="23" t="s">
        <v>120</v>
      </c>
    </row>
    <row r="11" customFormat="false" ht="15" hidden="false" customHeight="false" outlineLevel="0" collapsed="false">
      <c r="A11" s="23" t="n">
        <v>2006</v>
      </c>
      <c r="B11" s="23" t="n">
        <f aca="false">AVERAGE(ALSI_Monthly!B47:B58)</f>
        <v>21628.1958333333</v>
      </c>
      <c r="C11" s="23" t="s">
        <v>120</v>
      </c>
    </row>
    <row r="12" customFormat="false" ht="15" hidden="false" customHeight="false" outlineLevel="0" collapsed="false">
      <c r="A12" s="23" t="n">
        <v>2007</v>
      </c>
      <c r="B12" s="23" t="n">
        <f aca="false">AVERAGE(ALSI_Monthly!B59:B70)</f>
        <v>28452.39</v>
      </c>
      <c r="C12" s="23" t="s">
        <v>120</v>
      </c>
    </row>
    <row r="13" customFormat="false" ht="15" hidden="false" customHeight="false" outlineLevel="0" collapsed="false">
      <c r="A13" s="23" t="n">
        <v>2008</v>
      </c>
      <c r="B13" s="23" t="n">
        <f aca="false">AVERAGE(ALSI_Monthly!B71:B82)</f>
        <v>26962.0575</v>
      </c>
      <c r="C13" s="23" t="s">
        <v>120</v>
      </c>
    </row>
    <row r="14" customFormat="false" ht="15" hidden="false" customHeight="false" outlineLevel="0" collapsed="false">
      <c r="A14" s="23" t="n">
        <v>2009</v>
      </c>
      <c r="B14" s="23" t="n">
        <f aca="false">AVERAGE(ALSI_Monthly!B83:B94)</f>
        <v>23323.9066666667</v>
      </c>
      <c r="C14" s="23" t="s">
        <v>120</v>
      </c>
    </row>
    <row r="15" customFormat="false" ht="15" hidden="false" customHeight="false" outlineLevel="0" collapsed="false">
      <c r="A15" s="23" t="n">
        <v>2010</v>
      </c>
      <c r="B15" s="23" t="n">
        <f aca="false">AVERAGE(ALSI_Monthly!B95:B106)</f>
        <v>28509.1141666667</v>
      </c>
      <c r="C15" s="23" t="s">
        <v>120</v>
      </c>
    </row>
    <row r="16" customFormat="false" ht="15" hidden="false" customHeight="false" outlineLevel="0" collapsed="false">
      <c r="A16" s="23" t="n">
        <v>2011</v>
      </c>
      <c r="B16" s="23" t="n">
        <f aca="false">AVERAGE(ALSI_Monthly!B107:B118)</f>
        <v>31847.9991666667</v>
      </c>
      <c r="C16" s="23" t="s">
        <v>120</v>
      </c>
    </row>
    <row r="17" customFormat="false" ht="15" hidden="false" customHeight="false" outlineLevel="0" collapsed="false">
      <c r="A17" s="23" t="n">
        <v>2012</v>
      </c>
      <c r="B17" s="23" t="n">
        <f aca="false">AVERAGE(ALSI_Monthly!B119:B130)</f>
        <v>35262.3425</v>
      </c>
      <c r="C17" s="23" t="s">
        <v>120</v>
      </c>
    </row>
    <row r="18" customFormat="false" ht="15" hidden="false" customHeight="false" outlineLevel="0" collapsed="false">
      <c r="A18" s="23" t="n">
        <v>2013</v>
      </c>
      <c r="B18" s="23" t="n">
        <f aca="false">AVERAGE(ALSI_Monthly!B131:B142)</f>
        <v>42057.111281005</v>
      </c>
      <c r="C18" s="23" t="s">
        <v>120</v>
      </c>
    </row>
    <row r="19" customFormat="false" ht="15" hidden="false" customHeight="false" outlineLevel="0" collapsed="false">
      <c r="A19" s="23" t="n">
        <v>2014</v>
      </c>
      <c r="B19" s="23" t="n">
        <f aca="false">AVERAGE(ALSI_Monthly!B143:B154)</f>
        <v>49231.354147635</v>
      </c>
      <c r="C19" s="23" t="s">
        <v>120</v>
      </c>
    </row>
    <row r="20" customFormat="false" ht="15" hidden="false" customHeight="false" outlineLevel="0" collapsed="false">
      <c r="A20" s="23" t="n">
        <v>2015</v>
      </c>
      <c r="B20" s="23" t="n">
        <f aca="false">AVERAGE(ALSI_Monthly!B155:B166)</f>
        <v>51960.0810089992</v>
      </c>
      <c r="C20" s="23" t="s">
        <v>120</v>
      </c>
    </row>
    <row r="21" customFormat="false" ht="15" hidden="false" customHeight="false" outlineLevel="0" collapsed="false">
      <c r="A21" s="23" t="n">
        <v>2016</v>
      </c>
      <c r="B21" s="23" t="n">
        <f aca="false">AVERAGE(ALSI_Monthly!B167:B178)</f>
        <v>51568.4466973175</v>
      </c>
      <c r="C21" s="23" t="s">
        <v>120</v>
      </c>
    </row>
    <row r="22" customFormat="false" ht="15" hidden="false" customHeight="false" outlineLevel="0" collapsed="false">
      <c r="A22" s="23" t="n">
        <v>2017</v>
      </c>
      <c r="B22" s="23" t="n">
        <f aca="false">AVERAGE(ALSI_Monthly!B179:B190)</f>
        <v>55045.6807185183</v>
      </c>
      <c r="C22" s="23" t="s">
        <v>120</v>
      </c>
    </row>
    <row r="23" customFormat="false" ht="15" hidden="false" customHeight="false" outlineLevel="0" collapsed="false">
      <c r="A23" s="23" t="n">
        <v>2018</v>
      </c>
      <c r="B23" s="23" t="n">
        <f aca="false">AVERAGE(ALSI_Monthly!B191:B202)</f>
        <v>56075.817528175</v>
      </c>
      <c r="C23" s="23" t="s">
        <v>120</v>
      </c>
    </row>
    <row r="24" customFormat="false" ht="15" hidden="false" customHeight="false" outlineLevel="0" collapsed="false">
      <c r="A24" s="23" t="n">
        <v>2019</v>
      </c>
      <c r="B24" s="23" t="n">
        <f aca="false">AVERAGE(ALSI_Monthly!B203:B214)</f>
        <v>56227.616377405</v>
      </c>
      <c r="C24" s="23" t="s">
        <v>120</v>
      </c>
    </row>
    <row r="25" customFormat="false" ht="15" hidden="false" customHeight="false" outlineLevel="0" collapsed="false">
      <c r="A25" s="23" t="n">
        <v>2020</v>
      </c>
      <c r="B25" s="23" t="n">
        <f aca="false">AVERAGE(ALSI_Monthly!B215:B226)</f>
        <v>53369.8541548542</v>
      </c>
      <c r="C25" s="23" t="s">
        <v>120</v>
      </c>
    </row>
    <row r="26" customFormat="false" ht="15" hidden="false" customHeight="false" outlineLevel="0" collapsed="false">
      <c r="A26" s="23" t="n">
        <v>2021</v>
      </c>
      <c r="B26" s="23" t="n">
        <f aca="false">AVERAGE(ALSI_Monthly!B227:B238)</f>
        <v>67381.2329152133</v>
      </c>
      <c r="C26" s="23" t="s">
        <v>120</v>
      </c>
    </row>
    <row r="27" customFormat="false" ht="15" hidden="false" customHeight="false" outlineLevel="0" collapsed="false">
      <c r="A27" s="23" t="n">
        <v>2022</v>
      </c>
      <c r="B27" s="23" t="n">
        <f aca="false">AVERAGE(ALSI_Monthly!B239:B250)</f>
        <v>70926.198841505</v>
      </c>
      <c r="C27" s="23" t="s">
        <v>120</v>
      </c>
    </row>
    <row r="28" customFormat="false" ht="15" hidden="false" customHeight="false" outlineLevel="0" collapsed="false">
      <c r="A28" s="23" t="n">
        <v>2023</v>
      </c>
      <c r="B28" s="23" t="n">
        <f aca="false">AVERAGE(ALSI_Monthly!B251:B262)</f>
        <v>75918.3138890325</v>
      </c>
      <c r="C28" s="23" t="s">
        <v>120</v>
      </c>
    </row>
    <row r="29" customFormat="false" ht="15" hidden="false" customHeight="false" outlineLevel="0" collapsed="false">
      <c r="A29" s="23" t="n">
        <v>2024</v>
      </c>
      <c r="B29" s="23" t="n">
        <f aca="false">AVERAGE(ALSI_Monthly!B263:B274)</f>
        <v>80113.5782761508</v>
      </c>
      <c r="C29" s="23" t="s">
        <v>120</v>
      </c>
    </row>
    <row r="30" customFormat="false" ht="15" hidden="false" customHeight="false" outlineLevel="0" collapsed="false">
      <c r="A30" s="23" t="n">
        <v>2025</v>
      </c>
      <c r="B30" s="23" t="n">
        <f aca="false">AVERAGE(ALSI_Monthly!B275:B286)</f>
        <v>98934.2251412592</v>
      </c>
      <c r="C30" s="23" t="s">
        <v>120</v>
      </c>
    </row>
    <row r="31" customFormat="false" ht="15" hidden="false" customHeight="false" outlineLevel="0" collapsed="false">
      <c r="A31" s="24" t="n">
        <v>2026</v>
      </c>
      <c r="B31" s="24" t="n">
        <f aca="false">AVERAGE(ALSI_Monthly!B287:B293)</f>
        <v>116312.675960204</v>
      </c>
      <c r="C31" s="24" t="s">
        <v>121</v>
      </c>
      <c r="D31" s="25" t="s">
        <v>119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9" min="2" style="0" width="16"/>
  </cols>
  <sheetData>
    <row r="1" customFormat="false" ht="15" hidden="false" customHeight="false" outlineLevel="0" collapsed="false">
      <c r="A1" s="21" t="s">
        <v>122</v>
      </c>
      <c r="B1" s="21"/>
      <c r="C1" s="21"/>
      <c r="D1" s="21"/>
      <c r="E1" s="21"/>
      <c r="F1" s="21"/>
      <c r="G1" s="21"/>
      <c r="H1" s="21"/>
      <c r="I1" s="21"/>
    </row>
    <row r="3" customFormat="false" ht="23.85" hidden="false" customHeight="false" outlineLevel="0" collapsed="false">
      <c r="A3" s="22" t="s">
        <v>123</v>
      </c>
      <c r="B3" s="22" t="s">
        <v>124</v>
      </c>
      <c r="C3" s="22" t="s">
        <v>125</v>
      </c>
      <c r="D3" s="22" t="s">
        <v>126</v>
      </c>
      <c r="E3" s="22" t="s">
        <v>127</v>
      </c>
      <c r="F3" s="22" t="s">
        <v>128</v>
      </c>
      <c r="G3" s="22" t="s">
        <v>129</v>
      </c>
      <c r="H3" s="22" t="s">
        <v>130</v>
      </c>
      <c r="I3" s="22" t="s">
        <v>131</v>
      </c>
    </row>
    <row r="4" customFormat="false" ht="15" hidden="false" customHeight="false" outlineLevel="0" collapsed="false">
      <c r="A4" s="23" t="s">
        <v>132</v>
      </c>
      <c r="B4" s="27" t="n">
        <v>10657.73</v>
      </c>
      <c r="C4" s="27" t="n">
        <v>958.17</v>
      </c>
      <c r="D4" s="27" t="n">
        <v>2.94</v>
      </c>
      <c r="E4" s="27"/>
      <c r="F4" s="27" t="n">
        <v>5094.36</v>
      </c>
      <c r="G4" s="27" t="n">
        <v>5173.71</v>
      </c>
      <c r="H4" s="27" t="n">
        <v>2.94</v>
      </c>
      <c r="I4" s="27"/>
    </row>
    <row r="5" customFormat="false" ht="15" hidden="false" customHeight="false" outlineLevel="0" collapsed="false">
      <c r="A5" s="23" t="s">
        <v>133</v>
      </c>
      <c r="B5" s="27" t="n">
        <v>9239.02</v>
      </c>
      <c r="C5" s="27" t="n">
        <v>832.29</v>
      </c>
      <c r="D5" s="27" t="n">
        <v>3.35</v>
      </c>
      <c r="E5" s="27"/>
      <c r="F5" s="27" t="n">
        <v>4482.48</v>
      </c>
      <c r="G5" s="27" t="n">
        <v>4562.34</v>
      </c>
      <c r="H5" s="27" t="n">
        <v>3.3</v>
      </c>
      <c r="I5" s="27"/>
    </row>
    <row r="6" customFormat="false" ht="15" hidden="false" customHeight="false" outlineLevel="0" collapsed="false">
      <c r="A6" s="23" t="s">
        <v>134</v>
      </c>
      <c r="B6" s="27" t="n">
        <v>9677.26</v>
      </c>
      <c r="C6" s="27" t="n">
        <v>874.78</v>
      </c>
      <c r="D6" s="27" t="n">
        <v>3.35</v>
      </c>
      <c r="E6" s="27"/>
      <c r="F6" s="27" t="n">
        <v>4693.64</v>
      </c>
      <c r="G6" s="27" t="n">
        <v>4795.15</v>
      </c>
      <c r="H6" s="27" t="n">
        <v>3.31</v>
      </c>
      <c r="I6" s="27"/>
    </row>
    <row r="7" customFormat="false" ht="15" hidden="false" customHeight="false" outlineLevel="0" collapsed="false">
      <c r="A7" s="23" t="s">
        <v>135</v>
      </c>
      <c r="B7" s="27" t="n">
        <v>9465.33</v>
      </c>
      <c r="C7" s="27" t="n">
        <v>861.29</v>
      </c>
      <c r="D7" s="27" t="n">
        <v>3.53</v>
      </c>
      <c r="E7" s="27"/>
      <c r="F7" s="27" t="n">
        <v>4589.37</v>
      </c>
      <c r="G7" s="27" t="n">
        <v>4717.15</v>
      </c>
      <c r="H7" s="27" t="n">
        <v>3.52</v>
      </c>
      <c r="I7" s="27"/>
    </row>
    <row r="8" customFormat="false" ht="15" hidden="false" customHeight="false" outlineLevel="0" collapsed="false">
      <c r="A8" s="23" t="s">
        <v>136</v>
      </c>
      <c r="B8" s="27" t="n">
        <v>9376.23</v>
      </c>
      <c r="C8" s="27" t="n">
        <v>856.12</v>
      </c>
      <c r="D8" s="27" t="n">
        <v>3.53</v>
      </c>
      <c r="E8" s="27"/>
      <c r="F8" s="27" t="n">
        <v>4548.59</v>
      </c>
      <c r="G8" s="27" t="n">
        <v>4692.24</v>
      </c>
      <c r="H8" s="27" t="n">
        <v>3.52</v>
      </c>
      <c r="I8" s="27"/>
    </row>
    <row r="9" customFormat="false" ht="15" hidden="false" customHeight="false" outlineLevel="0" collapsed="false">
      <c r="A9" s="23" t="s">
        <v>137</v>
      </c>
      <c r="B9" s="27" t="n">
        <v>9563.74</v>
      </c>
      <c r="C9" s="27" t="n">
        <v>874.55</v>
      </c>
      <c r="D9" s="27" t="n">
        <v>3.38</v>
      </c>
      <c r="E9" s="27"/>
      <c r="F9" s="27" t="n">
        <v>4647.43</v>
      </c>
      <c r="G9" s="27" t="n">
        <v>4801.79</v>
      </c>
      <c r="H9" s="27" t="n">
        <v>3.37</v>
      </c>
      <c r="I9" s="27"/>
    </row>
    <row r="10" customFormat="false" ht="15" hidden="false" customHeight="false" outlineLevel="0" collapsed="false">
      <c r="A10" s="23" t="s">
        <v>138</v>
      </c>
      <c r="B10" s="27" t="n">
        <v>9277.22</v>
      </c>
      <c r="C10" s="27" t="n">
        <v>849.66</v>
      </c>
      <c r="D10" s="27" t="n">
        <v>3.43</v>
      </c>
      <c r="E10" s="27"/>
      <c r="F10" s="27" t="n">
        <v>4506.65</v>
      </c>
      <c r="G10" s="27" t="n">
        <v>4663.87</v>
      </c>
      <c r="H10" s="27" t="n">
        <v>3.44</v>
      </c>
      <c r="I10" s="27"/>
    </row>
    <row r="11" customFormat="false" ht="15" hidden="false" customHeight="false" outlineLevel="0" collapsed="false">
      <c r="A11" s="23" t="s">
        <v>139</v>
      </c>
      <c r="B11" s="27" t="n">
        <v>8798.35</v>
      </c>
      <c r="C11" s="27" t="n">
        <v>807.44</v>
      </c>
      <c r="D11" s="27" t="n">
        <v>3.69</v>
      </c>
      <c r="E11" s="27"/>
      <c r="F11" s="27" t="n">
        <v>4277.04</v>
      </c>
      <c r="G11" s="27" t="n">
        <v>4435.76</v>
      </c>
      <c r="H11" s="27" t="n">
        <v>3.7</v>
      </c>
      <c r="I11" s="27"/>
    </row>
    <row r="12" customFormat="false" ht="15" hidden="false" customHeight="false" outlineLevel="0" collapsed="false">
      <c r="A12" s="23" t="s">
        <v>140</v>
      </c>
      <c r="B12" s="27" t="n">
        <v>8402.09</v>
      </c>
      <c r="C12" s="27" t="n">
        <v>772.67</v>
      </c>
      <c r="D12" s="27" t="n">
        <v>3.81</v>
      </c>
      <c r="E12" s="27"/>
      <c r="F12" s="27" t="n">
        <v>4076.42</v>
      </c>
      <c r="G12" s="27" t="n">
        <v>4236.99</v>
      </c>
      <c r="H12" s="27" t="n">
        <v>3.83</v>
      </c>
      <c r="I12" s="27"/>
    </row>
    <row r="13" customFormat="false" ht="15" hidden="false" customHeight="false" outlineLevel="0" collapsed="false">
      <c r="A13" s="23" t="s">
        <v>141</v>
      </c>
      <c r="B13" s="27" t="n">
        <v>7679.88</v>
      </c>
      <c r="C13" s="27" t="n">
        <v>711.38</v>
      </c>
      <c r="D13" s="27" t="n">
        <v>4.15</v>
      </c>
      <c r="E13" s="27"/>
      <c r="F13" s="27" t="n">
        <v>3713.19</v>
      </c>
      <c r="G13" s="27" t="n">
        <v>3883.45</v>
      </c>
      <c r="H13" s="27" t="n">
        <v>4.2</v>
      </c>
      <c r="I13" s="27"/>
    </row>
    <row r="14" customFormat="false" ht="15" hidden="false" customHeight="false" outlineLevel="0" collapsed="false">
      <c r="A14" s="23" t="s">
        <v>142</v>
      </c>
      <c r="B14" s="27" t="n">
        <v>7510.4</v>
      </c>
      <c r="C14" s="27" t="n">
        <v>699.56</v>
      </c>
      <c r="D14" s="27" t="n">
        <v>4.22</v>
      </c>
      <c r="E14" s="27"/>
      <c r="F14" s="27" t="n">
        <v>3644.75</v>
      </c>
      <c r="G14" s="27" t="n">
        <v>3834.71</v>
      </c>
      <c r="H14" s="27" t="n">
        <v>4.27</v>
      </c>
      <c r="I14" s="27"/>
    </row>
    <row r="15" customFormat="false" ht="15" hidden="false" customHeight="false" outlineLevel="0" collapsed="false">
      <c r="A15" s="23" t="s">
        <v>143</v>
      </c>
      <c r="B15" s="27" t="n">
        <v>8564.33</v>
      </c>
      <c r="C15" s="27" t="n">
        <v>797.96</v>
      </c>
      <c r="D15" s="27" t="n">
        <v>3.85</v>
      </c>
      <c r="E15" s="27"/>
      <c r="F15" s="27" t="n">
        <v>4143.5</v>
      </c>
      <c r="G15" s="27" t="n">
        <v>4360.83</v>
      </c>
      <c r="H15" s="27" t="n">
        <v>3.89</v>
      </c>
      <c r="I15" s="27"/>
    </row>
    <row r="16" customFormat="false" ht="15" hidden="false" customHeight="false" outlineLevel="0" collapsed="false">
      <c r="A16" s="23" t="s">
        <v>144</v>
      </c>
      <c r="B16" s="27" t="n">
        <v>8352.2</v>
      </c>
      <c r="C16" s="27" t="n">
        <v>780.27</v>
      </c>
      <c r="D16" s="27" t="n">
        <v>3.96</v>
      </c>
      <c r="E16" s="27"/>
      <c r="F16" s="27" t="n">
        <v>4056</v>
      </c>
      <c r="G16" s="27" t="n">
        <v>4280.84</v>
      </c>
      <c r="H16" s="27" t="n">
        <v>4</v>
      </c>
      <c r="I16" s="27"/>
    </row>
    <row r="17" customFormat="false" ht="15" hidden="false" customHeight="false" outlineLevel="0" collapsed="false">
      <c r="A17" s="23" t="s">
        <v>145</v>
      </c>
      <c r="B17" s="27" t="n">
        <v>8809.63</v>
      </c>
      <c r="C17" s="27" t="n">
        <v>824.61</v>
      </c>
      <c r="D17" s="27" t="n">
        <v>3.8</v>
      </c>
      <c r="E17" s="27"/>
      <c r="F17" s="27" t="n">
        <v>4263.17</v>
      </c>
      <c r="G17" s="27" t="n">
        <v>4508.81</v>
      </c>
      <c r="H17" s="27" t="n">
        <v>3.85</v>
      </c>
      <c r="I17" s="27"/>
    </row>
    <row r="18" customFormat="false" ht="15" hidden="false" customHeight="false" outlineLevel="0" collapsed="false">
      <c r="A18" s="23" t="s">
        <v>146</v>
      </c>
      <c r="B18" s="27" t="n">
        <v>9226.2</v>
      </c>
      <c r="C18" s="27" t="n">
        <v>866.96</v>
      </c>
      <c r="D18" s="27" t="n">
        <v>3.52</v>
      </c>
      <c r="E18" s="27"/>
      <c r="F18" s="27" t="n">
        <v>4459.34</v>
      </c>
      <c r="G18" s="27" t="n">
        <v>4733.18</v>
      </c>
      <c r="H18" s="27" t="n">
        <v>3.56</v>
      </c>
      <c r="I18" s="27"/>
    </row>
    <row r="19" customFormat="false" ht="15" hidden="false" customHeight="false" outlineLevel="0" collapsed="false">
      <c r="A19" s="23" t="s">
        <v>147</v>
      </c>
      <c r="B19" s="27" t="n">
        <v>8925.69</v>
      </c>
      <c r="C19" s="27" t="n">
        <v>842.16</v>
      </c>
      <c r="D19" s="27" t="n">
        <v>3.61</v>
      </c>
      <c r="E19" s="27"/>
      <c r="F19" s="27" t="n">
        <v>4335.23</v>
      </c>
      <c r="G19" s="27" t="n">
        <v>4621.71</v>
      </c>
      <c r="H19" s="27" t="n">
        <v>3.64</v>
      </c>
      <c r="I19" s="27"/>
    </row>
    <row r="20" customFormat="false" ht="15" hidden="false" customHeight="false" outlineLevel="0" collapsed="false">
      <c r="A20" s="23" t="s">
        <v>148</v>
      </c>
      <c r="B20" s="27" t="n">
        <v>9765.3</v>
      </c>
      <c r="C20" s="27" t="n">
        <v>924.52</v>
      </c>
      <c r="D20" s="27" t="n">
        <v>3.3</v>
      </c>
      <c r="E20" s="27"/>
      <c r="F20" s="27" t="n">
        <v>4731.25</v>
      </c>
      <c r="G20" s="27" t="n">
        <v>5062.44</v>
      </c>
      <c r="H20" s="27" t="n">
        <v>3.34</v>
      </c>
      <c r="I20" s="27"/>
    </row>
    <row r="21" customFormat="false" ht="15" hidden="false" customHeight="false" outlineLevel="0" collapsed="false">
      <c r="A21" s="23" t="s">
        <v>149</v>
      </c>
      <c r="B21" s="27" t="n">
        <v>9729.6</v>
      </c>
      <c r="C21" s="27" t="n">
        <v>922.43</v>
      </c>
      <c r="D21" s="27" t="n">
        <v>3.29</v>
      </c>
      <c r="E21" s="27"/>
      <c r="F21" s="27" t="n">
        <v>4725.33</v>
      </c>
      <c r="G21" s="27" t="n">
        <v>5063.45</v>
      </c>
      <c r="H21" s="27" t="n">
        <v>3.31</v>
      </c>
      <c r="I21" s="27"/>
    </row>
    <row r="22" customFormat="false" ht="15" hidden="false" customHeight="false" outlineLevel="0" collapsed="false">
      <c r="A22" s="23" t="s">
        <v>150</v>
      </c>
      <c r="B22" s="27" t="n">
        <v>10387.22</v>
      </c>
      <c r="C22" s="27" t="n">
        <v>986.32</v>
      </c>
      <c r="D22" s="27" t="n">
        <v>3.12</v>
      </c>
      <c r="E22" s="27"/>
      <c r="F22" s="27" t="n">
        <v>5048.74</v>
      </c>
      <c r="G22" s="27" t="n">
        <v>5419.12</v>
      </c>
      <c r="H22" s="27" t="n">
        <v>3.14</v>
      </c>
      <c r="I22" s="27"/>
    </row>
    <row r="23" customFormat="false" ht="15" hidden="false" customHeight="false" outlineLevel="0" collapsed="false">
      <c r="A23" s="23" t="s">
        <v>151</v>
      </c>
      <c r="B23" s="27" t="n">
        <v>10849.25</v>
      </c>
      <c r="C23" s="27" t="n">
        <v>1032.08</v>
      </c>
      <c r="D23" s="27" t="n">
        <v>3</v>
      </c>
      <c r="E23" s="27"/>
      <c r="F23" s="27" t="n">
        <v>5254.2</v>
      </c>
      <c r="G23" s="27" t="n">
        <v>5650.61</v>
      </c>
      <c r="H23" s="27" t="n">
        <v>3.03</v>
      </c>
      <c r="I23" s="27"/>
    </row>
    <row r="24" customFormat="false" ht="15" hidden="false" customHeight="false" outlineLevel="0" collapsed="false">
      <c r="A24" s="23" t="s">
        <v>152</v>
      </c>
      <c r="B24" s="27" t="n">
        <v>10895.86</v>
      </c>
      <c r="C24" s="27" t="n">
        <v>1037.02</v>
      </c>
      <c r="D24" s="27" t="n">
        <v>2.92</v>
      </c>
      <c r="E24" s="27"/>
      <c r="F24" s="27" t="n">
        <v>5263</v>
      </c>
      <c r="G24" s="27" t="n">
        <v>5663.04</v>
      </c>
      <c r="H24" s="27" t="n">
        <v>2.96</v>
      </c>
      <c r="I24" s="27"/>
    </row>
    <row r="25" customFormat="false" ht="15" hidden="false" customHeight="false" outlineLevel="0" collapsed="false">
      <c r="A25" s="23" t="s">
        <v>153</v>
      </c>
      <c r="B25" s="27" t="n">
        <v>10692.56</v>
      </c>
      <c r="C25" s="27" t="n">
        <v>1022.58</v>
      </c>
      <c r="D25" s="27" t="n">
        <v>2.89</v>
      </c>
      <c r="E25" s="27"/>
      <c r="F25" s="27" t="n">
        <v>5192.9</v>
      </c>
      <c r="G25" s="27" t="n">
        <v>5610.87</v>
      </c>
      <c r="H25" s="27" t="n">
        <v>2.93</v>
      </c>
      <c r="I25" s="27"/>
    </row>
    <row r="26" customFormat="false" ht="15" hidden="false" customHeight="false" outlineLevel="0" collapsed="false">
      <c r="A26" s="23" t="s">
        <v>154</v>
      </c>
      <c r="B26" s="27" t="n">
        <v>10385.8</v>
      </c>
      <c r="C26" s="27" t="n">
        <v>998.4</v>
      </c>
      <c r="D26" s="27" t="n">
        <v>3.01</v>
      </c>
      <c r="E26" s="27"/>
      <c r="F26" s="27" t="n">
        <v>5062.72</v>
      </c>
      <c r="G26" s="27" t="n">
        <v>5500.34</v>
      </c>
      <c r="H26" s="27" t="n">
        <v>3.04</v>
      </c>
      <c r="I26" s="27"/>
    </row>
    <row r="27" customFormat="false" ht="15" hidden="false" customHeight="false" outlineLevel="0" collapsed="false">
      <c r="A27" s="23" t="s">
        <v>155</v>
      </c>
      <c r="B27" s="27" t="n">
        <v>10413.81</v>
      </c>
      <c r="C27" s="27" t="n">
        <v>1001.46</v>
      </c>
      <c r="D27" s="27" t="n">
        <v>3</v>
      </c>
      <c r="E27" s="27"/>
      <c r="F27" s="27" t="n">
        <v>5079.57</v>
      </c>
      <c r="G27" s="27" t="n">
        <v>5520.82</v>
      </c>
      <c r="H27" s="27" t="n">
        <v>3.03</v>
      </c>
      <c r="I27" s="27"/>
    </row>
    <row r="28" customFormat="false" ht="15" hidden="false" customHeight="false" outlineLevel="0" collapsed="false">
      <c r="A28" s="23" t="s">
        <v>156</v>
      </c>
      <c r="B28" s="27" t="n">
        <v>10108.61</v>
      </c>
      <c r="C28" s="27" t="n">
        <v>974.28</v>
      </c>
      <c r="D28" s="27" t="n">
        <v>3.19</v>
      </c>
      <c r="E28" s="27"/>
      <c r="F28" s="27" t="n">
        <v>4944.05</v>
      </c>
      <c r="G28" s="27" t="n">
        <v>5386.19</v>
      </c>
      <c r="H28" s="27" t="n">
        <v>3.2</v>
      </c>
      <c r="I28" s="27"/>
    </row>
    <row r="29" customFormat="false" ht="15" hidden="false" customHeight="false" outlineLevel="0" collapsed="false">
      <c r="A29" s="23" t="s">
        <v>157</v>
      </c>
      <c r="B29" s="27" t="n">
        <v>10305.89</v>
      </c>
      <c r="C29" s="27" t="n">
        <v>995.25</v>
      </c>
      <c r="D29" s="27" t="n">
        <v>3.14</v>
      </c>
      <c r="E29" s="27"/>
      <c r="F29" s="27" t="n">
        <v>5034.11</v>
      </c>
      <c r="G29" s="27" t="n">
        <v>5495.54</v>
      </c>
      <c r="H29" s="27" t="n">
        <v>3.16</v>
      </c>
      <c r="I29" s="27"/>
    </row>
    <row r="30" customFormat="false" ht="15" hidden="false" customHeight="false" outlineLevel="0" collapsed="false">
      <c r="A30" s="23" t="s">
        <v>158</v>
      </c>
      <c r="B30" s="27" t="n">
        <v>11160.44</v>
      </c>
      <c r="C30" s="27" t="n">
        <v>1082.3</v>
      </c>
      <c r="D30" s="27" t="n">
        <v>2.89</v>
      </c>
      <c r="E30" s="27"/>
      <c r="F30" s="27" t="n">
        <v>5440.19</v>
      </c>
      <c r="G30" s="27" t="n">
        <v>5962.6</v>
      </c>
      <c r="H30" s="27" t="n">
        <v>2.91</v>
      </c>
      <c r="I30" s="27"/>
    </row>
    <row r="31" customFormat="false" ht="15" hidden="false" customHeight="false" outlineLevel="0" collapsed="false">
      <c r="A31" s="23" t="s">
        <v>159</v>
      </c>
      <c r="B31" s="27" t="n">
        <v>11761</v>
      </c>
      <c r="C31" s="27" t="n">
        <v>1144.13</v>
      </c>
      <c r="D31" s="27" t="n">
        <v>2.72</v>
      </c>
      <c r="E31" s="27"/>
      <c r="F31" s="27" t="n">
        <v>5740.85</v>
      </c>
      <c r="G31" s="27" t="n">
        <v>6312.95</v>
      </c>
      <c r="H31" s="27" t="n">
        <v>2.74</v>
      </c>
      <c r="I31" s="27"/>
    </row>
    <row r="32" customFormat="false" ht="15" hidden="false" customHeight="false" outlineLevel="0" collapsed="false">
      <c r="A32" s="23" t="s">
        <v>160</v>
      </c>
      <c r="B32" s="27" t="n">
        <v>11655.31</v>
      </c>
      <c r="C32" s="27" t="n">
        <v>1137.11</v>
      </c>
      <c r="D32" s="27" t="n">
        <v>2.78</v>
      </c>
      <c r="E32" s="27"/>
      <c r="F32" s="27" t="n">
        <v>5724.91</v>
      </c>
      <c r="G32" s="27" t="n">
        <v>6314.48</v>
      </c>
      <c r="H32" s="27" t="n">
        <v>2.78</v>
      </c>
      <c r="I32" s="27"/>
    </row>
    <row r="33" customFormat="false" ht="15" hidden="false" customHeight="false" outlineLevel="0" collapsed="false">
      <c r="A33" s="23" t="s">
        <v>161</v>
      </c>
      <c r="B33" s="27" t="n">
        <v>12490.79</v>
      </c>
      <c r="C33" s="27" t="n">
        <v>1219.64</v>
      </c>
      <c r="D33" s="27" t="n">
        <v>2.61</v>
      </c>
      <c r="E33" s="27"/>
      <c r="F33" s="27" t="n">
        <v>6143.82</v>
      </c>
      <c r="G33" s="27" t="n">
        <v>6782.43</v>
      </c>
      <c r="H33" s="27" t="n">
        <v>2.61</v>
      </c>
      <c r="I33" s="27"/>
    </row>
    <row r="34" customFormat="false" ht="15" hidden="false" customHeight="false" outlineLevel="0" collapsed="false">
      <c r="A34" s="23" t="s">
        <v>162</v>
      </c>
      <c r="B34" s="27" t="n">
        <v>12656.86</v>
      </c>
      <c r="C34" s="27" t="n">
        <v>1237.25</v>
      </c>
      <c r="D34" s="27" t="n">
        <v>2.62</v>
      </c>
      <c r="E34" s="27"/>
      <c r="F34" s="27" t="n">
        <v>6239.21</v>
      </c>
      <c r="G34" s="27" t="n">
        <v>6895.79</v>
      </c>
      <c r="H34" s="27" t="n">
        <v>2.62</v>
      </c>
      <c r="I34" s="27"/>
    </row>
    <row r="35" customFormat="false" ht="15" hidden="false" customHeight="false" outlineLevel="0" collapsed="false">
      <c r="A35" s="23" t="s">
        <v>163</v>
      </c>
      <c r="B35" s="27" t="n">
        <v>12798.55</v>
      </c>
      <c r="C35" s="27" t="n">
        <v>1254.01</v>
      </c>
      <c r="D35" s="27" t="n">
        <v>2.66</v>
      </c>
      <c r="E35" s="27"/>
      <c r="F35" s="27" t="n">
        <v>6307.34</v>
      </c>
      <c r="G35" s="27" t="n">
        <v>6987.51</v>
      </c>
      <c r="H35" s="27" t="n">
        <v>2.65</v>
      </c>
      <c r="I35" s="27"/>
    </row>
    <row r="36" customFormat="false" ht="15" hidden="false" customHeight="false" outlineLevel="0" collapsed="false">
      <c r="A36" s="23" t="s">
        <v>164</v>
      </c>
      <c r="B36" s="27" t="n">
        <v>13476.59</v>
      </c>
      <c r="C36" s="27" t="n">
        <v>1322.42</v>
      </c>
      <c r="D36" s="27" t="n">
        <v>2.55</v>
      </c>
      <c r="E36" s="27"/>
      <c r="F36" s="27" t="n">
        <v>6641.38</v>
      </c>
      <c r="G36" s="27" t="n">
        <v>7368.7</v>
      </c>
      <c r="H36" s="27" t="n">
        <v>2.55</v>
      </c>
      <c r="I36" s="27"/>
    </row>
    <row r="37" customFormat="false" ht="15" hidden="false" customHeight="false" outlineLevel="0" collapsed="false">
      <c r="A37" s="23" t="s">
        <v>165</v>
      </c>
      <c r="B37" s="27" t="n">
        <v>13298.58</v>
      </c>
      <c r="C37" s="27" t="n">
        <v>1310.86</v>
      </c>
      <c r="D37" s="27" t="n">
        <v>2.67</v>
      </c>
      <c r="E37" s="27"/>
      <c r="F37" s="27" t="n">
        <v>6554.46</v>
      </c>
      <c r="G37" s="27" t="n">
        <v>7303.79</v>
      </c>
      <c r="H37" s="27" t="n">
        <v>2.69</v>
      </c>
      <c r="I37" s="27"/>
    </row>
    <row r="38" customFormat="false" ht="15" hidden="false" customHeight="false" outlineLevel="0" collapsed="false">
      <c r="A38" s="23" t="s">
        <v>166</v>
      </c>
      <c r="B38" s="27" t="n">
        <v>12555.96</v>
      </c>
      <c r="C38" s="27" t="n">
        <v>1243.08</v>
      </c>
      <c r="D38" s="27" t="n">
        <v>2.94</v>
      </c>
      <c r="E38" s="27"/>
      <c r="F38" s="27" t="n">
        <v>6199.87</v>
      </c>
      <c r="G38" s="27" t="n">
        <v>6940.05</v>
      </c>
      <c r="H38" s="27" t="n">
        <v>2.95</v>
      </c>
      <c r="I38" s="27"/>
    </row>
    <row r="39" customFormat="false" ht="15" hidden="false" customHeight="false" outlineLevel="0" collapsed="false">
      <c r="A39" s="23" t="s">
        <v>167</v>
      </c>
      <c r="B39" s="27" t="n">
        <v>13787.02</v>
      </c>
      <c r="C39" s="27" t="n">
        <v>1365.42</v>
      </c>
      <c r="D39" s="27" t="n">
        <v>2.68</v>
      </c>
      <c r="E39" s="27"/>
      <c r="F39" s="27" t="n">
        <v>6794.54</v>
      </c>
      <c r="G39" s="27" t="n">
        <v>7608.38</v>
      </c>
      <c r="H39" s="27" t="n">
        <v>2.7</v>
      </c>
      <c r="I39" s="27"/>
    </row>
    <row r="40" customFormat="false" ht="15" hidden="false" customHeight="false" outlineLevel="0" collapsed="false">
      <c r="A40" s="23" t="s">
        <v>168</v>
      </c>
      <c r="B40" s="27" t="n">
        <v>14154.73</v>
      </c>
      <c r="C40" s="27" t="n">
        <v>1405.81</v>
      </c>
      <c r="D40" s="27" t="n">
        <v>2.71</v>
      </c>
      <c r="E40" s="27"/>
      <c r="F40" s="27" t="n">
        <v>6982.17</v>
      </c>
      <c r="G40" s="27" t="n">
        <v>7841.45</v>
      </c>
      <c r="H40" s="27" t="n">
        <v>2.73</v>
      </c>
      <c r="I40" s="27"/>
    </row>
    <row r="41" customFormat="false" ht="15" hidden="false" customHeight="false" outlineLevel="0" collapsed="false">
      <c r="A41" s="23" t="s">
        <v>169</v>
      </c>
      <c r="B41" s="27" t="n">
        <v>15143.64</v>
      </c>
      <c r="C41" s="27" t="n">
        <v>1506.62</v>
      </c>
      <c r="D41" s="27" t="n">
        <v>2.56</v>
      </c>
      <c r="E41" s="27"/>
      <c r="F41" s="27" t="n">
        <v>7471.11</v>
      </c>
      <c r="G41" s="27" t="n">
        <v>8405.6</v>
      </c>
      <c r="H41" s="27" t="n">
        <v>2.57</v>
      </c>
      <c r="I41" s="27"/>
    </row>
    <row r="42" customFormat="false" ht="15" hidden="false" customHeight="false" outlineLevel="0" collapsed="false">
      <c r="A42" s="23" t="s">
        <v>170</v>
      </c>
      <c r="B42" s="27" t="n">
        <v>15414.01</v>
      </c>
      <c r="C42" s="27" t="n">
        <v>1537.56</v>
      </c>
      <c r="D42" s="27" t="n">
        <v>2.58</v>
      </c>
      <c r="E42" s="27"/>
      <c r="F42" s="27" t="n">
        <v>7610.32</v>
      </c>
      <c r="G42" s="27" t="n">
        <v>8583.35</v>
      </c>
      <c r="H42" s="27" t="n">
        <v>2.59</v>
      </c>
      <c r="I42" s="27"/>
    </row>
    <row r="43" customFormat="false" ht="15" hidden="false" customHeight="false" outlineLevel="0" collapsed="false">
      <c r="A43" s="23" t="s">
        <v>171</v>
      </c>
      <c r="B43" s="27" t="n">
        <v>16875.65</v>
      </c>
      <c r="C43" s="27" t="n">
        <v>1690.99</v>
      </c>
      <c r="D43" s="27" t="n">
        <v>2.48</v>
      </c>
      <c r="E43" s="27"/>
      <c r="F43" s="27" t="n">
        <v>8319.43</v>
      </c>
      <c r="G43" s="27" t="n">
        <v>9425.95</v>
      </c>
      <c r="H43" s="27" t="n">
        <v>2.49</v>
      </c>
      <c r="I43" s="27"/>
    </row>
    <row r="44" customFormat="false" ht="15" hidden="false" customHeight="false" outlineLevel="0" collapsed="false">
      <c r="A44" s="23" t="s">
        <v>172</v>
      </c>
      <c r="B44" s="27" t="n">
        <v>16433.1</v>
      </c>
      <c r="C44" s="27" t="n">
        <v>1650.84</v>
      </c>
      <c r="D44" s="27" t="n">
        <v>2.58</v>
      </c>
      <c r="E44" s="27"/>
      <c r="F44" s="27" t="n">
        <v>8093.71</v>
      </c>
      <c r="G44" s="27" t="n">
        <v>9194.3</v>
      </c>
      <c r="H44" s="27" t="n">
        <v>2.59</v>
      </c>
      <c r="I44" s="27"/>
    </row>
    <row r="45" customFormat="false" ht="15" hidden="false" customHeight="false" outlineLevel="0" collapsed="false">
      <c r="A45" s="23" t="s">
        <v>173</v>
      </c>
      <c r="B45" s="27" t="n">
        <v>16774.54</v>
      </c>
      <c r="C45" s="27" t="n">
        <v>1686.19</v>
      </c>
      <c r="D45" s="27" t="n">
        <v>2.53</v>
      </c>
      <c r="E45" s="27"/>
      <c r="F45" s="27" t="n">
        <v>8264.95</v>
      </c>
      <c r="G45" s="27" t="n">
        <v>9394.89</v>
      </c>
      <c r="H45" s="27" t="n">
        <v>2.54</v>
      </c>
      <c r="I45" s="27"/>
    </row>
    <row r="46" customFormat="false" ht="15" hidden="false" customHeight="false" outlineLevel="0" collapsed="false">
      <c r="A46" s="23" t="s">
        <v>174</v>
      </c>
      <c r="B46" s="27" t="n">
        <v>18096.54</v>
      </c>
      <c r="C46" s="27" t="n">
        <v>1821.87</v>
      </c>
      <c r="D46" s="27" t="n">
        <v>2.4</v>
      </c>
      <c r="E46" s="27"/>
      <c r="F46" s="27" t="n">
        <v>8922.76</v>
      </c>
      <c r="G46" s="27" t="n">
        <v>10158.71</v>
      </c>
      <c r="H46" s="27" t="n">
        <v>2.4</v>
      </c>
      <c r="I46" s="27"/>
    </row>
    <row r="47" customFormat="false" ht="15" hidden="false" customHeight="false" outlineLevel="0" collapsed="false">
      <c r="A47" s="23" t="s">
        <v>175</v>
      </c>
      <c r="B47" s="27" t="n">
        <v>19745.16</v>
      </c>
      <c r="C47" s="27" t="n">
        <v>1990.17</v>
      </c>
      <c r="D47" s="27" t="n">
        <v>2.22</v>
      </c>
      <c r="E47" s="27"/>
      <c r="F47" s="27" t="n">
        <v>9734</v>
      </c>
      <c r="G47" s="27" t="n">
        <v>11095.73</v>
      </c>
      <c r="H47" s="27" t="n">
        <v>2.23</v>
      </c>
      <c r="I47" s="27"/>
    </row>
    <row r="48" customFormat="false" ht="15" hidden="false" customHeight="false" outlineLevel="0" collapsed="false">
      <c r="A48" s="23" t="s">
        <v>176</v>
      </c>
      <c r="B48" s="27" t="n">
        <v>19085.35</v>
      </c>
      <c r="C48" s="27" t="n">
        <v>1926.04</v>
      </c>
      <c r="D48" s="27" t="n">
        <v>2.34</v>
      </c>
      <c r="E48" s="27"/>
      <c r="F48" s="27" t="n">
        <v>9409.17</v>
      </c>
      <c r="G48" s="27" t="n">
        <v>10738.71</v>
      </c>
      <c r="H48" s="27" t="n">
        <v>2.35</v>
      </c>
      <c r="I48" s="27"/>
    </row>
    <row r="49" customFormat="false" ht="15" hidden="false" customHeight="false" outlineLevel="0" collapsed="false">
      <c r="A49" s="23" t="s">
        <v>177</v>
      </c>
      <c r="B49" s="27" t="n">
        <v>20351.74</v>
      </c>
      <c r="C49" s="27" t="n">
        <v>2063.3</v>
      </c>
      <c r="D49" s="27" t="n">
        <v>2.3</v>
      </c>
      <c r="E49" s="27"/>
      <c r="F49" s="27" t="n">
        <v>10042.25</v>
      </c>
      <c r="G49" s="27" t="n">
        <v>11509.82</v>
      </c>
      <c r="H49" s="27" t="n">
        <v>2.3</v>
      </c>
      <c r="I49" s="27"/>
    </row>
    <row r="50" customFormat="false" ht="15" hidden="false" customHeight="false" outlineLevel="0" collapsed="false">
      <c r="A50" s="23" t="s">
        <v>178</v>
      </c>
      <c r="B50" s="27" t="n">
        <v>21135.51</v>
      </c>
      <c r="C50" s="27" t="n">
        <v>2150.53</v>
      </c>
      <c r="D50" s="27" t="n">
        <v>2.24</v>
      </c>
      <c r="E50" s="27"/>
      <c r="F50" s="27" t="n">
        <v>10416.78</v>
      </c>
      <c r="G50" s="27" t="n">
        <v>11983.37</v>
      </c>
      <c r="H50" s="27" t="n">
        <v>2.24</v>
      </c>
      <c r="I50" s="27"/>
    </row>
    <row r="51" customFormat="false" ht="15" hidden="false" customHeight="false" outlineLevel="0" collapsed="false">
      <c r="A51" s="23" t="s">
        <v>179</v>
      </c>
      <c r="B51" s="27" t="n">
        <v>20565.46</v>
      </c>
      <c r="C51" s="27" t="n">
        <v>2093.11</v>
      </c>
      <c r="D51" s="27" t="n">
        <v>2.3</v>
      </c>
      <c r="E51" s="27"/>
      <c r="F51" s="27" t="n">
        <v>10121.41</v>
      </c>
      <c r="G51" s="27" t="n">
        <v>11646.86</v>
      </c>
      <c r="H51" s="27" t="n">
        <v>2.31</v>
      </c>
      <c r="I51" s="27"/>
    </row>
    <row r="52" customFormat="false" ht="15" hidden="false" customHeight="false" outlineLevel="0" collapsed="false">
      <c r="A52" s="23" t="s">
        <v>180</v>
      </c>
      <c r="B52" s="27" t="n">
        <v>21237.87</v>
      </c>
      <c r="C52" s="27" t="n">
        <v>2163.69</v>
      </c>
      <c r="D52" s="27" t="n">
        <v>2.24</v>
      </c>
      <c r="E52" s="27"/>
      <c r="F52" s="27" t="n">
        <v>10415.53</v>
      </c>
      <c r="G52" s="27" t="n">
        <v>11997.64</v>
      </c>
      <c r="H52" s="27" t="n">
        <v>2.27</v>
      </c>
      <c r="I52" s="27"/>
    </row>
    <row r="53" customFormat="false" ht="15" hidden="false" customHeight="false" outlineLevel="0" collapsed="false">
      <c r="A53" s="23" t="s">
        <v>181</v>
      </c>
      <c r="B53" s="27" t="n">
        <v>20885.57</v>
      </c>
      <c r="C53" s="27" t="n">
        <v>2132.12</v>
      </c>
      <c r="D53" s="27" t="n">
        <v>2.33</v>
      </c>
      <c r="E53" s="27"/>
      <c r="F53" s="27" t="n">
        <v>10247.17</v>
      </c>
      <c r="G53" s="27" t="n">
        <v>11829.19</v>
      </c>
      <c r="H53" s="27" t="n">
        <v>2.37</v>
      </c>
      <c r="I53" s="27"/>
    </row>
    <row r="54" customFormat="false" ht="15" hidden="false" customHeight="false" outlineLevel="0" collapsed="false">
      <c r="A54" s="23" t="s">
        <v>182</v>
      </c>
      <c r="B54" s="27" t="n">
        <v>21953.8</v>
      </c>
      <c r="C54" s="27" t="n">
        <v>2248.17</v>
      </c>
      <c r="D54" s="27" t="n">
        <v>2.31</v>
      </c>
      <c r="E54" s="27"/>
      <c r="F54" s="27" t="n">
        <v>10754.32</v>
      </c>
      <c r="G54" s="27" t="n">
        <v>12451.63</v>
      </c>
      <c r="H54" s="27" t="n">
        <v>2.34</v>
      </c>
      <c r="I54" s="27"/>
    </row>
    <row r="55" customFormat="false" ht="15" hidden="false" customHeight="false" outlineLevel="0" collapsed="false">
      <c r="A55" s="23" t="s">
        <v>183</v>
      </c>
      <c r="B55" s="27" t="n">
        <v>22374.58</v>
      </c>
      <c r="C55" s="27" t="n">
        <v>2300.73</v>
      </c>
      <c r="D55" s="27" t="n">
        <v>2.37</v>
      </c>
      <c r="E55" s="27"/>
      <c r="F55" s="27" t="n">
        <v>10953.42</v>
      </c>
      <c r="G55" s="27" t="n">
        <v>12735.92</v>
      </c>
      <c r="H55" s="27" t="n">
        <v>2.41</v>
      </c>
      <c r="I55" s="27"/>
    </row>
    <row r="56" customFormat="false" ht="15" hidden="false" customHeight="false" outlineLevel="0" collapsed="false">
      <c r="A56" s="23" t="s">
        <v>184</v>
      </c>
      <c r="B56" s="27" t="n">
        <v>23338.16</v>
      </c>
      <c r="C56" s="27" t="n">
        <v>2405.93</v>
      </c>
      <c r="D56" s="27" t="n">
        <v>2.33</v>
      </c>
      <c r="E56" s="27"/>
      <c r="F56" s="27" t="n">
        <v>11424.8</v>
      </c>
      <c r="G56" s="27" t="n">
        <v>13320.23</v>
      </c>
      <c r="H56" s="27" t="n">
        <v>2.37</v>
      </c>
      <c r="I56" s="27"/>
    </row>
    <row r="57" customFormat="false" ht="15" hidden="false" customHeight="false" outlineLevel="0" collapsed="false">
      <c r="A57" s="23" t="s">
        <v>185</v>
      </c>
      <c r="B57" s="27" t="n">
        <v>23949.95</v>
      </c>
      <c r="C57" s="27" t="n">
        <v>2470.29</v>
      </c>
      <c r="D57" s="27" t="n">
        <v>2.29</v>
      </c>
      <c r="E57" s="27"/>
      <c r="F57" s="27" t="n">
        <v>11755.11</v>
      </c>
      <c r="G57" s="27" t="n">
        <v>13713.01</v>
      </c>
      <c r="H57" s="27" t="n">
        <v>2.32</v>
      </c>
      <c r="I57" s="27"/>
    </row>
    <row r="58" customFormat="false" ht="15" hidden="false" customHeight="false" outlineLevel="0" collapsed="false">
      <c r="A58" s="23" t="s">
        <v>186</v>
      </c>
      <c r="B58" s="27" t="n">
        <v>24915.2</v>
      </c>
      <c r="C58" s="27" t="n">
        <v>2573</v>
      </c>
      <c r="D58" s="27" t="n">
        <v>2.22</v>
      </c>
      <c r="E58" s="27"/>
      <c r="F58" s="27" t="n">
        <v>12244.89</v>
      </c>
      <c r="G58" s="27" t="n">
        <v>14303</v>
      </c>
      <c r="H58" s="27" t="n">
        <v>2.25</v>
      </c>
      <c r="I58" s="27"/>
    </row>
    <row r="59" customFormat="false" ht="15" hidden="false" customHeight="false" outlineLevel="0" collapsed="false">
      <c r="A59" s="23" t="s">
        <v>187</v>
      </c>
      <c r="B59" s="27" t="n">
        <v>25447.73</v>
      </c>
      <c r="C59" s="27" t="n">
        <v>2630.44</v>
      </c>
      <c r="D59" s="27" t="n">
        <v>2.2</v>
      </c>
      <c r="E59" s="27" t="n">
        <v>5.69</v>
      </c>
      <c r="F59" s="27" t="n">
        <v>12533.55</v>
      </c>
      <c r="G59" s="27" t="n">
        <v>14654.66</v>
      </c>
      <c r="H59" s="27" t="n">
        <v>2.22</v>
      </c>
      <c r="I59" s="27" t="n">
        <v>5.72</v>
      </c>
    </row>
    <row r="60" customFormat="false" ht="15" hidden="false" customHeight="false" outlineLevel="0" collapsed="false">
      <c r="A60" s="23" t="s">
        <v>188</v>
      </c>
      <c r="B60" s="27" t="n">
        <v>25795.99</v>
      </c>
      <c r="C60" s="27" t="n">
        <v>2669.93</v>
      </c>
      <c r="D60" s="27" t="n">
        <v>2.21</v>
      </c>
      <c r="E60" s="27" t="n">
        <v>6.37</v>
      </c>
      <c r="F60" s="27" t="n">
        <v>12698.13</v>
      </c>
      <c r="G60" s="27" t="n">
        <v>14867.49</v>
      </c>
      <c r="H60" s="27" t="n">
        <v>2.23</v>
      </c>
      <c r="I60" s="27" t="n">
        <v>6.31</v>
      </c>
    </row>
    <row r="61" customFormat="false" ht="15" hidden="false" customHeight="false" outlineLevel="0" collapsed="false">
      <c r="A61" s="23" t="s">
        <v>189</v>
      </c>
      <c r="B61" s="27" t="n">
        <v>27267.24</v>
      </c>
      <c r="C61" s="27" t="n">
        <v>2840.11</v>
      </c>
      <c r="D61" s="27" t="n">
        <v>2.28</v>
      </c>
      <c r="E61" s="27" t="n">
        <v>6.42</v>
      </c>
      <c r="F61" s="27" t="n">
        <v>13379.56</v>
      </c>
      <c r="G61" s="27" t="n">
        <v>15756.76</v>
      </c>
      <c r="H61" s="27" t="n">
        <v>2.31</v>
      </c>
      <c r="I61" s="27" t="n">
        <v>6.38</v>
      </c>
    </row>
    <row r="62" customFormat="false" ht="15" hidden="false" customHeight="false" outlineLevel="0" collapsed="false">
      <c r="A62" s="23" t="s">
        <v>190</v>
      </c>
      <c r="B62" s="27" t="n">
        <v>28170.6</v>
      </c>
      <c r="C62" s="27" t="n">
        <v>2938.91</v>
      </c>
      <c r="D62" s="27" t="n">
        <v>2.24</v>
      </c>
      <c r="E62" s="27" t="n">
        <v>6.23</v>
      </c>
      <c r="F62" s="27" t="n">
        <v>13866.94</v>
      </c>
      <c r="G62" s="27" t="n">
        <v>16358.66</v>
      </c>
      <c r="H62" s="27" t="n">
        <v>2.26</v>
      </c>
      <c r="I62" s="27" t="n">
        <v>6.18</v>
      </c>
    </row>
    <row r="63" customFormat="false" ht="15" hidden="false" customHeight="false" outlineLevel="0" collapsed="false">
      <c r="A63" s="23" t="s">
        <v>191</v>
      </c>
      <c r="B63" s="27" t="n">
        <v>28627.79</v>
      </c>
      <c r="C63" s="27" t="n">
        <v>2990.31</v>
      </c>
      <c r="D63" s="27" t="n">
        <v>2.23</v>
      </c>
      <c r="E63" s="27" t="n">
        <v>6.31</v>
      </c>
      <c r="F63" s="27" t="n">
        <v>13996.48</v>
      </c>
      <c r="G63" s="27" t="n">
        <v>16533.29</v>
      </c>
      <c r="H63" s="27" t="n">
        <v>2.27</v>
      </c>
      <c r="I63" s="27" t="n">
        <v>6.3</v>
      </c>
    </row>
    <row r="64" customFormat="false" ht="15" hidden="false" customHeight="false" outlineLevel="0" collapsed="false">
      <c r="A64" s="23" t="s">
        <v>192</v>
      </c>
      <c r="B64" s="27" t="n">
        <v>28337.22</v>
      </c>
      <c r="C64" s="27" t="n">
        <v>2961.9</v>
      </c>
      <c r="D64" s="27" t="n">
        <v>2.26</v>
      </c>
      <c r="E64" s="27" t="n">
        <v>6.4</v>
      </c>
      <c r="F64" s="27" t="n">
        <v>13863.01</v>
      </c>
      <c r="G64" s="27" t="n">
        <v>16387.23</v>
      </c>
      <c r="H64" s="27" t="n">
        <v>2.32</v>
      </c>
      <c r="I64" s="27" t="n">
        <v>6.38</v>
      </c>
    </row>
    <row r="65" customFormat="false" ht="15" hidden="false" customHeight="false" outlineLevel="0" collapsed="false">
      <c r="A65" s="23" t="s">
        <v>193</v>
      </c>
      <c r="B65" s="27" t="n">
        <v>28561.81</v>
      </c>
      <c r="C65" s="27" t="n">
        <v>2990.27</v>
      </c>
      <c r="D65" s="27" t="n">
        <v>2.3</v>
      </c>
      <c r="E65" s="27" t="n">
        <v>6.4</v>
      </c>
      <c r="F65" s="27" t="n">
        <v>13970.69</v>
      </c>
      <c r="G65" s="27" t="n">
        <v>16544.35</v>
      </c>
      <c r="H65" s="27" t="n">
        <v>2.35</v>
      </c>
      <c r="I65" s="27" t="n">
        <v>6.39</v>
      </c>
    </row>
    <row r="66" customFormat="false" ht="15" hidden="false" customHeight="false" outlineLevel="0" collapsed="false">
      <c r="A66" s="23" t="s">
        <v>194</v>
      </c>
      <c r="B66" s="27" t="n">
        <v>28660.35</v>
      </c>
      <c r="C66" s="27" t="n">
        <v>3010.38</v>
      </c>
      <c r="D66" s="27" t="n">
        <v>2.34</v>
      </c>
      <c r="E66" s="27" t="n">
        <v>6.86</v>
      </c>
      <c r="F66" s="27" t="n">
        <v>14029.62</v>
      </c>
      <c r="G66" s="27" t="n">
        <v>16665.3</v>
      </c>
      <c r="H66" s="27" t="n">
        <v>2.39</v>
      </c>
      <c r="I66" s="27" t="n">
        <v>6.76</v>
      </c>
    </row>
    <row r="67" customFormat="false" ht="15" hidden="false" customHeight="false" outlineLevel="0" collapsed="false">
      <c r="A67" s="23" t="s">
        <v>195</v>
      </c>
      <c r="B67" s="27" t="n">
        <v>29959.19</v>
      </c>
      <c r="C67" s="27" t="n">
        <v>3160.72</v>
      </c>
      <c r="D67" s="27" t="n">
        <v>2.36</v>
      </c>
      <c r="E67" s="27" t="n">
        <v>6.63</v>
      </c>
      <c r="F67" s="27" t="n">
        <v>14544.82</v>
      </c>
      <c r="G67" s="27" t="n">
        <v>17356.29</v>
      </c>
      <c r="H67" s="27" t="n">
        <v>2.45</v>
      </c>
      <c r="I67" s="27" t="n">
        <v>6.59</v>
      </c>
    </row>
    <row r="68" customFormat="false" ht="15" hidden="false" customHeight="false" outlineLevel="0" collapsed="false">
      <c r="A68" s="23" t="s">
        <v>196</v>
      </c>
      <c r="B68" s="27" t="n">
        <v>31334.99</v>
      </c>
      <c r="C68" s="27" t="n">
        <v>3312.24</v>
      </c>
      <c r="D68" s="27" t="n">
        <v>2.3</v>
      </c>
      <c r="E68" s="27" t="n">
        <v>6.33</v>
      </c>
      <c r="F68" s="27" t="n">
        <v>15297.36</v>
      </c>
      <c r="G68" s="27" t="n">
        <v>18293.56</v>
      </c>
      <c r="H68" s="27" t="n">
        <v>2.37</v>
      </c>
      <c r="I68" s="27" t="n">
        <v>6.26</v>
      </c>
    </row>
    <row r="69" customFormat="false" ht="15" hidden="false" customHeight="false" outlineLevel="0" collapsed="false">
      <c r="A69" s="23" t="s">
        <v>197</v>
      </c>
      <c r="B69" s="27" t="n">
        <v>30307.8</v>
      </c>
      <c r="C69" s="27" t="n">
        <v>3206.56</v>
      </c>
      <c r="D69" s="27" t="n">
        <v>2.39</v>
      </c>
      <c r="E69" s="27" t="n">
        <v>6.56</v>
      </c>
      <c r="F69" s="27" t="n">
        <v>14803.3</v>
      </c>
      <c r="G69" s="27" t="n">
        <v>17720.45</v>
      </c>
      <c r="H69" s="27" t="n">
        <v>2.47</v>
      </c>
      <c r="I69" s="27" t="n">
        <v>6.49</v>
      </c>
    </row>
    <row r="70" customFormat="false" ht="15" hidden="false" customHeight="false" outlineLevel="0" collapsed="false">
      <c r="A70" s="23" t="s">
        <v>198</v>
      </c>
      <c r="B70" s="27" t="n">
        <v>28957.97</v>
      </c>
      <c r="C70" s="27" t="n">
        <v>3066.87</v>
      </c>
      <c r="D70" s="27" t="n">
        <v>2.55</v>
      </c>
      <c r="E70" s="27" t="n">
        <v>6.89</v>
      </c>
      <c r="F70" s="27" t="n">
        <v>14201.82</v>
      </c>
      <c r="G70" s="27" t="n">
        <v>17019.47</v>
      </c>
      <c r="H70" s="27" t="n">
        <v>2.61</v>
      </c>
      <c r="I70" s="27" t="n">
        <v>6.8</v>
      </c>
    </row>
    <row r="71" customFormat="false" ht="15" hidden="false" customHeight="false" outlineLevel="0" collapsed="false">
      <c r="A71" s="23" t="s">
        <v>199</v>
      </c>
      <c r="B71" s="27" t="n">
        <v>27317.14</v>
      </c>
      <c r="C71" s="27" t="n">
        <v>2894.85</v>
      </c>
      <c r="D71" s="27" t="n">
        <v>2.69</v>
      </c>
      <c r="E71" s="27" t="n">
        <v>7.27</v>
      </c>
      <c r="F71" s="27" t="n">
        <v>13330.89</v>
      </c>
      <c r="G71" s="27" t="n">
        <v>15986.3</v>
      </c>
      <c r="H71" s="27" t="n">
        <v>2.77</v>
      </c>
      <c r="I71" s="27" t="n">
        <v>7.22</v>
      </c>
    </row>
    <row r="72" customFormat="false" ht="15" hidden="false" customHeight="false" outlineLevel="0" collapsed="false">
      <c r="A72" s="23" t="s">
        <v>200</v>
      </c>
      <c r="B72" s="27" t="n">
        <v>30673.74</v>
      </c>
      <c r="C72" s="27" t="n">
        <v>3255.33</v>
      </c>
      <c r="D72" s="27" t="n">
        <v>2.44</v>
      </c>
      <c r="E72" s="27" t="n">
        <v>6.37</v>
      </c>
      <c r="F72" s="27" t="n">
        <v>14860.79</v>
      </c>
      <c r="G72" s="27" t="n">
        <v>17842.79</v>
      </c>
      <c r="H72" s="27" t="n">
        <v>2.52</v>
      </c>
      <c r="I72" s="27" t="n">
        <v>6.38</v>
      </c>
    </row>
    <row r="73" customFormat="false" ht="15" hidden="false" customHeight="false" outlineLevel="0" collapsed="false">
      <c r="A73" s="23" t="s">
        <v>201</v>
      </c>
      <c r="B73" s="27" t="n">
        <v>29587.51</v>
      </c>
      <c r="C73" s="27" t="n">
        <v>3156.36</v>
      </c>
      <c r="D73" s="27" t="n">
        <v>2.57</v>
      </c>
      <c r="E73" s="27" t="n">
        <v>6.68</v>
      </c>
      <c r="F73" s="27" t="n">
        <v>14343.45</v>
      </c>
      <c r="G73" s="27" t="n">
        <v>17307.54</v>
      </c>
      <c r="H73" s="27" t="n">
        <v>2.64</v>
      </c>
      <c r="I73" s="27" t="n">
        <v>6.71</v>
      </c>
    </row>
    <row r="74" customFormat="false" ht="15" hidden="false" customHeight="false" outlineLevel="0" collapsed="false">
      <c r="A74" s="23" t="s">
        <v>202</v>
      </c>
      <c r="B74" s="27" t="n">
        <v>30743.49</v>
      </c>
      <c r="C74" s="27" t="n">
        <v>3288.71</v>
      </c>
      <c r="D74" s="27" t="n">
        <v>2.53</v>
      </c>
      <c r="E74" s="27" t="n">
        <v>6.47</v>
      </c>
      <c r="F74" s="27" t="n">
        <v>14862.37</v>
      </c>
      <c r="G74" s="27" t="n">
        <v>17988.33</v>
      </c>
      <c r="H74" s="27" t="n">
        <v>2.62</v>
      </c>
      <c r="I74" s="27" t="n">
        <v>6.52</v>
      </c>
    </row>
    <row r="75" customFormat="false" ht="15" hidden="false" customHeight="false" outlineLevel="0" collapsed="false">
      <c r="A75" s="23" t="s">
        <v>203</v>
      </c>
      <c r="B75" s="27" t="n">
        <v>31841.27</v>
      </c>
      <c r="C75" s="27" t="n">
        <v>3411.19</v>
      </c>
      <c r="D75" s="27" t="n">
        <v>2.42</v>
      </c>
      <c r="E75" s="27" t="n">
        <v>6.25</v>
      </c>
      <c r="F75" s="27" t="n">
        <v>15358.43</v>
      </c>
      <c r="G75" s="27" t="n">
        <v>18619.27</v>
      </c>
      <c r="H75" s="27" t="n">
        <v>2.51</v>
      </c>
      <c r="I75" s="27" t="n">
        <v>6.31</v>
      </c>
    </row>
    <row r="76" customFormat="false" ht="15" hidden="false" customHeight="false" outlineLevel="0" collapsed="false">
      <c r="A76" s="23" t="s">
        <v>204</v>
      </c>
      <c r="B76" s="27" t="n">
        <v>30413.43</v>
      </c>
      <c r="C76" s="27" t="n">
        <v>3262.45</v>
      </c>
      <c r="D76" s="27" t="n">
        <v>2.55</v>
      </c>
      <c r="E76" s="27" t="n">
        <v>6.53</v>
      </c>
      <c r="F76" s="27" t="n">
        <v>14511.01</v>
      </c>
      <c r="G76" s="27" t="n">
        <v>17618.15</v>
      </c>
      <c r="H76" s="27" t="n">
        <v>2.74</v>
      </c>
      <c r="I76" s="27" t="n">
        <v>6.72</v>
      </c>
    </row>
    <row r="77" customFormat="false" ht="15" hidden="false" customHeight="false" outlineLevel="0" collapsed="false">
      <c r="A77" s="23" t="s">
        <v>205</v>
      </c>
      <c r="B77" s="27" t="n">
        <v>27719.67</v>
      </c>
      <c r="C77" s="27" t="n">
        <v>2978.06</v>
      </c>
      <c r="D77" s="27" t="n">
        <v>2.83</v>
      </c>
      <c r="E77" s="27" t="n">
        <v>7.19</v>
      </c>
      <c r="F77" s="27" t="n">
        <v>13535.49</v>
      </c>
      <c r="G77" s="27" t="n">
        <v>16463.3</v>
      </c>
      <c r="H77" s="27" t="n">
        <v>2.97</v>
      </c>
      <c r="I77" s="27" t="n">
        <v>7.23</v>
      </c>
    </row>
    <row r="78" customFormat="false" ht="15" hidden="false" customHeight="false" outlineLevel="0" collapsed="false">
      <c r="A78" s="23" t="s">
        <v>206</v>
      </c>
      <c r="B78" s="27" t="n">
        <v>27702.06</v>
      </c>
      <c r="C78" s="27" t="n">
        <v>2987.36</v>
      </c>
      <c r="D78" s="27" t="n">
        <v>2.89</v>
      </c>
      <c r="E78" s="27" t="n">
        <v>7.9</v>
      </c>
      <c r="F78" s="27" t="n">
        <v>13584.6</v>
      </c>
      <c r="G78" s="27" t="n">
        <v>16583.75</v>
      </c>
      <c r="H78" s="27" t="n">
        <v>3.02</v>
      </c>
      <c r="I78" s="27" t="n">
        <v>7.76</v>
      </c>
    </row>
    <row r="79" customFormat="false" ht="15" hidden="false" customHeight="false" outlineLevel="0" collapsed="false">
      <c r="A79" s="23" t="s">
        <v>207</v>
      </c>
      <c r="B79" s="27" t="n">
        <v>23835.97</v>
      </c>
      <c r="C79" s="27" t="n">
        <v>2591.85</v>
      </c>
      <c r="D79" s="27" t="n">
        <v>3.67</v>
      </c>
      <c r="E79" s="27" t="n">
        <v>9.38</v>
      </c>
      <c r="F79" s="27" t="n">
        <v>11891.65</v>
      </c>
      <c r="G79" s="27" t="n">
        <v>14640.93</v>
      </c>
      <c r="H79" s="27" t="n">
        <v>3.71</v>
      </c>
      <c r="I79" s="27" t="n">
        <v>9.23</v>
      </c>
    </row>
    <row r="80" customFormat="false" ht="15" hidden="false" customHeight="false" outlineLevel="0" collapsed="false">
      <c r="A80" s="23" t="s">
        <v>208</v>
      </c>
      <c r="B80" s="27" t="n">
        <v>20991.72</v>
      </c>
      <c r="C80" s="27" t="n">
        <v>2289.99</v>
      </c>
      <c r="D80" s="27" t="n">
        <v>4.25</v>
      </c>
      <c r="E80" s="27" t="n">
        <v>10.49</v>
      </c>
      <c r="F80" s="27" t="n">
        <v>10473.99</v>
      </c>
      <c r="G80" s="27" t="n">
        <v>12940.29</v>
      </c>
      <c r="H80" s="27" t="n">
        <v>4.3</v>
      </c>
      <c r="I80" s="27" t="n">
        <v>10.3</v>
      </c>
    </row>
    <row r="81" customFormat="false" ht="15" hidden="false" customHeight="false" outlineLevel="0" collapsed="false">
      <c r="A81" s="23" t="s">
        <v>209</v>
      </c>
      <c r="B81" s="27" t="n">
        <v>21209.49</v>
      </c>
      <c r="C81" s="27" t="n">
        <v>2319.07</v>
      </c>
      <c r="D81" s="27" t="n">
        <v>4.46</v>
      </c>
      <c r="E81" s="27" t="n">
        <v>10.78</v>
      </c>
      <c r="F81" s="27" t="n">
        <v>10567.61</v>
      </c>
      <c r="G81" s="27" t="n">
        <v>13087.91</v>
      </c>
      <c r="H81" s="27" t="n">
        <v>4.53</v>
      </c>
      <c r="I81" s="27" t="n">
        <v>10.61</v>
      </c>
    </row>
    <row r="82" customFormat="false" ht="15" hidden="false" customHeight="false" outlineLevel="0" collapsed="false">
      <c r="A82" s="23" t="s">
        <v>210</v>
      </c>
      <c r="B82" s="27" t="n">
        <v>21509.2</v>
      </c>
      <c r="C82" s="27" t="n">
        <v>2354.29</v>
      </c>
      <c r="D82" s="27" t="n">
        <v>4.39</v>
      </c>
      <c r="E82" s="27" t="n">
        <v>10.58</v>
      </c>
      <c r="F82" s="27" t="n">
        <v>10755.35</v>
      </c>
      <c r="G82" s="27" t="n">
        <v>13335.24</v>
      </c>
      <c r="H82" s="27" t="n">
        <v>4.45</v>
      </c>
      <c r="I82" s="27" t="n">
        <v>10.53</v>
      </c>
    </row>
    <row r="83" customFormat="false" ht="15" hidden="false" customHeight="false" outlineLevel="0" collapsed="false">
      <c r="A83" s="23" t="s">
        <v>211</v>
      </c>
      <c r="B83" s="27" t="n">
        <v>20570.05</v>
      </c>
      <c r="C83" s="27" t="n">
        <v>2254.24</v>
      </c>
      <c r="D83" s="27" t="n">
        <v>4.6</v>
      </c>
      <c r="E83" s="27" t="n">
        <v>11.05</v>
      </c>
      <c r="F83" s="27" t="n">
        <v>10277.87</v>
      </c>
      <c r="G83" s="27" t="n">
        <v>12759.57</v>
      </c>
      <c r="H83" s="27" t="n">
        <v>4.66</v>
      </c>
      <c r="I83" s="27" t="n">
        <v>11.01</v>
      </c>
    </row>
    <row r="84" customFormat="false" ht="15" hidden="false" customHeight="false" outlineLevel="0" collapsed="false">
      <c r="A84" s="23" t="s">
        <v>212</v>
      </c>
      <c r="B84" s="27" t="n">
        <v>18465.33</v>
      </c>
      <c r="C84" s="27" t="n">
        <v>2031.67</v>
      </c>
      <c r="D84" s="27" t="n">
        <v>5.3</v>
      </c>
      <c r="E84" s="27" t="n">
        <v>12.19</v>
      </c>
      <c r="F84" s="27" t="n">
        <v>9233.03</v>
      </c>
      <c r="G84" s="27" t="n">
        <v>11497</v>
      </c>
      <c r="H84" s="27" t="n">
        <v>5.32</v>
      </c>
      <c r="I84" s="27" t="n">
        <v>12.11</v>
      </c>
    </row>
    <row r="85" customFormat="false" ht="15" hidden="false" customHeight="false" outlineLevel="0" collapsed="false">
      <c r="A85" s="23" t="s">
        <v>213</v>
      </c>
      <c r="B85" s="27" t="n">
        <v>20363.91</v>
      </c>
      <c r="C85" s="27" t="n">
        <v>2255.54</v>
      </c>
      <c r="D85" s="27" t="n">
        <v>4.82</v>
      </c>
      <c r="E85" s="27" t="n">
        <v>10.33</v>
      </c>
      <c r="F85" s="27" t="n">
        <v>10143.42</v>
      </c>
      <c r="G85" s="27" t="n">
        <v>12720.28</v>
      </c>
      <c r="H85" s="27" t="n">
        <v>4.88</v>
      </c>
      <c r="I85" s="27" t="n">
        <v>10.41</v>
      </c>
    </row>
    <row r="86" customFormat="false" ht="15" hidden="false" customHeight="false" outlineLevel="0" collapsed="false">
      <c r="A86" s="23" t="s">
        <v>214</v>
      </c>
      <c r="B86" s="27" t="n">
        <v>20647.03</v>
      </c>
      <c r="C86" s="27" t="n">
        <v>2291.16</v>
      </c>
      <c r="D86" s="27" t="n">
        <v>4.73</v>
      </c>
      <c r="E86" s="27" t="n">
        <v>10.17</v>
      </c>
      <c r="F86" s="27" t="n">
        <v>10321.97</v>
      </c>
      <c r="G86" s="27" t="n">
        <v>12969.91</v>
      </c>
      <c r="H86" s="27" t="n">
        <v>4.77</v>
      </c>
      <c r="I86" s="27" t="n">
        <v>10.18</v>
      </c>
    </row>
    <row r="87" customFormat="false" ht="15" hidden="false" customHeight="false" outlineLevel="0" collapsed="false">
      <c r="A87" s="23" t="s">
        <v>215</v>
      </c>
      <c r="B87" s="27" t="n">
        <v>22770.62</v>
      </c>
      <c r="C87" s="27" t="n">
        <v>2527.87</v>
      </c>
      <c r="D87" s="27" t="n">
        <v>4.27</v>
      </c>
      <c r="E87" s="27" t="n">
        <v>9.33</v>
      </c>
      <c r="F87" s="27" t="n">
        <v>11404.71</v>
      </c>
      <c r="G87" s="27" t="n">
        <v>14336.78</v>
      </c>
      <c r="H87" s="27" t="n">
        <v>4.3</v>
      </c>
      <c r="I87" s="27" t="n">
        <v>9.22</v>
      </c>
    </row>
    <row r="88" customFormat="false" ht="15" hidden="false" customHeight="false" outlineLevel="0" collapsed="false">
      <c r="A88" s="23" t="s">
        <v>216</v>
      </c>
      <c r="B88" s="27" t="n">
        <v>22049.42</v>
      </c>
      <c r="C88" s="27" t="n">
        <v>2450.64</v>
      </c>
      <c r="D88" s="27" t="n">
        <v>4</v>
      </c>
      <c r="E88" s="27" t="n">
        <v>9.41</v>
      </c>
      <c r="F88" s="27" t="n">
        <v>11072.84</v>
      </c>
      <c r="G88" s="27" t="n">
        <v>13936.55</v>
      </c>
      <c r="H88" s="27" t="n">
        <v>3.99</v>
      </c>
      <c r="I88" s="27" t="n">
        <v>9.26</v>
      </c>
    </row>
    <row r="89" customFormat="false" ht="15" hidden="false" customHeight="false" outlineLevel="0" collapsed="false">
      <c r="A89" s="23" t="s">
        <v>217</v>
      </c>
      <c r="B89" s="27" t="n">
        <v>24258.51</v>
      </c>
      <c r="C89" s="27" t="n">
        <v>2698.16</v>
      </c>
      <c r="D89" s="27" t="n">
        <v>3.48</v>
      </c>
      <c r="E89" s="27" t="n">
        <v>8.39</v>
      </c>
      <c r="F89" s="27" t="n">
        <v>12150.93</v>
      </c>
      <c r="G89" s="27" t="n">
        <v>15305.23</v>
      </c>
      <c r="H89" s="27" t="n">
        <v>3.48</v>
      </c>
      <c r="I89" s="27" t="n">
        <v>8.44</v>
      </c>
    </row>
    <row r="90" customFormat="false" ht="15" hidden="false" customHeight="false" outlineLevel="0" collapsed="false">
      <c r="A90" s="23" t="s">
        <v>218</v>
      </c>
      <c r="B90" s="27" t="n">
        <v>24929.42</v>
      </c>
      <c r="C90" s="27" t="n">
        <v>2784.5</v>
      </c>
      <c r="D90" s="27" t="n">
        <v>3.24</v>
      </c>
      <c r="E90" s="27" t="n">
        <v>7.37</v>
      </c>
      <c r="F90" s="27" t="n">
        <v>12517.71</v>
      </c>
      <c r="G90" s="27" t="n">
        <v>15826.5</v>
      </c>
      <c r="H90" s="27" t="n">
        <v>3.22</v>
      </c>
      <c r="I90" s="27" t="n">
        <v>7.49</v>
      </c>
    </row>
    <row r="91" customFormat="false" ht="15" hidden="false" customHeight="false" outlineLevel="0" collapsed="false">
      <c r="A91" s="23" t="s">
        <v>219</v>
      </c>
      <c r="B91" s="27" t="n">
        <v>24910.85</v>
      </c>
      <c r="C91" s="27" t="n">
        <v>2791.42</v>
      </c>
      <c r="D91" s="27" t="n">
        <v>2.64</v>
      </c>
      <c r="E91" s="27" t="n">
        <v>6.88</v>
      </c>
      <c r="F91" s="27" t="n">
        <v>12493.06</v>
      </c>
      <c r="G91" s="27" t="n">
        <v>15848.55</v>
      </c>
      <c r="H91" s="27" t="n">
        <v>2.61</v>
      </c>
      <c r="I91" s="27" t="n">
        <v>6.99</v>
      </c>
    </row>
    <row r="92" customFormat="false" ht="15" hidden="false" customHeight="false" outlineLevel="0" collapsed="false">
      <c r="A92" s="23" t="s">
        <v>220</v>
      </c>
      <c r="B92" s="27" t="n">
        <v>26360.55</v>
      </c>
      <c r="C92" s="27" t="n">
        <v>2959.37</v>
      </c>
      <c r="D92" s="27" t="n">
        <v>2.41</v>
      </c>
      <c r="E92" s="27" t="n">
        <v>6.42</v>
      </c>
      <c r="F92" s="27" t="n">
        <v>13220.38</v>
      </c>
      <c r="G92" s="27" t="n">
        <v>16803.62</v>
      </c>
      <c r="H92" s="27" t="n">
        <v>2.38</v>
      </c>
      <c r="I92" s="27" t="n">
        <v>6.53</v>
      </c>
    </row>
    <row r="93" customFormat="false" ht="15" hidden="false" customHeight="false" outlineLevel="0" collapsed="false">
      <c r="A93" s="23" t="s">
        <v>221</v>
      </c>
      <c r="B93" s="27" t="n">
        <v>26894.74</v>
      </c>
      <c r="C93" s="27" t="n">
        <v>3022.43</v>
      </c>
      <c r="D93" s="27" t="n">
        <v>2.28</v>
      </c>
      <c r="E93" s="27" t="n">
        <v>6.01</v>
      </c>
      <c r="F93" s="27" t="n">
        <v>13469.06</v>
      </c>
      <c r="G93" s="27" t="n">
        <v>17137.93</v>
      </c>
      <c r="H93" s="27" t="n">
        <v>2.24</v>
      </c>
      <c r="I93" s="27" t="n">
        <v>5.97</v>
      </c>
    </row>
    <row r="94" customFormat="false" ht="15" hidden="false" customHeight="false" outlineLevel="0" collapsed="false">
      <c r="A94" s="23" t="s">
        <v>222</v>
      </c>
      <c r="B94" s="27" t="n">
        <v>27666.45</v>
      </c>
      <c r="C94" s="27" t="n">
        <v>3110.79</v>
      </c>
      <c r="D94" s="27" t="n">
        <v>2.2</v>
      </c>
      <c r="E94" s="27" t="n">
        <v>5.81</v>
      </c>
      <c r="F94" s="27" t="n">
        <v>13856.63</v>
      </c>
      <c r="G94" s="27" t="n">
        <v>17640.65</v>
      </c>
      <c r="H94" s="27" t="n">
        <v>2.2</v>
      </c>
      <c r="I94" s="27" t="n">
        <v>5.76</v>
      </c>
    </row>
    <row r="95" customFormat="false" ht="15" hidden="false" customHeight="false" outlineLevel="0" collapsed="false">
      <c r="A95" s="23" t="s">
        <v>223</v>
      </c>
      <c r="B95" s="27" t="n">
        <v>26675.95</v>
      </c>
      <c r="C95" s="27" t="n">
        <v>3001.79</v>
      </c>
      <c r="D95" s="27" t="n">
        <v>2.28</v>
      </c>
      <c r="E95" s="27" t="n">
        <v>6.05</v>
      </c>
      <c r="F95" s="27" t="n">
        <v>13384.35</v>
      </c>
      <c r="G95" s="27" t="n">
        <v>17053.85</v>
      </c>
      <c r="H95" s="27" t="n">
        <v>2.28</v>
      </c>
      <c r="I95" s="27" t="n">
        <v>5.98</v>
      </c>
    </row>
    <row r="96" customFormat="false" ht="15" hidden="false" customHeight="false" outlineLevel="0" collapsed="false">
      <c r="A96" s="23" t="s">
        <v>224</v>
      </c>
      <c r="B96" s="27" t="n">
        <v>26764.61</v>
      </c>
      <c r="C96" s="27" t="n">
        <v>3012.99</v>
      </c>
      <c r="D96" s="27" t="n">
        <v>2.25</v>
      </c>
      <c r="E96" s="27" t="n">
        <v>5.75</v>
      </c>
      <c r="F96" s="27" t="n">
        <v>13430.39</v>
      </c>
      <c r="G96" s="27" t="n">
        <v>17119.92</v>
      </c>
      <c r="H96" s="27" t="n">
        <v>2.25</v>
      </c>
      <c r="I96" s="27" t="n">
        <v>5.69</v>
      </c>
    </row>
    <row r="97" customFormat="false" ht="15" hidden="false" customHeight="false" outlineLevel="0" collapsed="false">
      <c r="A97" s="23" t="s">
        <v>225</v>
      </c>
      <c r="B97" s="27" t="n">
        <v>28747.56</v>
      </c>
      <c r="C97" s="27" t="n">
        <v>3250.11</v>
      </c>
      <c r="D97" s="27" t="n">
        <v>2</v>
      </c>
      <c r="E97" s="27" t="n">
        <v>5.67</v>
      </c>
      <c r="F97" s="27" t="n">
        <v>14406.9</v>
      </c>
      <c r="G97" s="27" t="n">
        <v>18436.34</v>
      </c>
      <c r="H97" s="27" t="n">
        <v>1.99</v>
      </c>
      <c r="I97" s="27" t="n">
        <v>5.65</v>
      </c>
    </row>
    <row r="98" customFormat="false" ht="15" hidden="false" customHeight="false" outlineLevel="0" collapsed="false">
      <c r="A98" s="23" t="s">
        <v>226</v>
      </c>
      <c r="B98" s="27" t="n">
        <v>28635.76</v>
      </c>
      <c r="C98" s="27" t="n">
        <v>3248.17</v>
      </c>
      <c r="D98" s="27" t="n">
        <v>2.03</v>
      </c>
      <c r="E98" s="27" t="n">
        <v>5.7</v>
      </c>
      <c r="F98" s="27" t="n">
        <v>14407.12</v>
      </c>
      <c r="G98" s="27" t="n">
        <v>18500.75</v>
      </c>
      <c r="H98" s="27" t="n">
        <v>2.01</v>
      </c>
      <c r="I98" s="27" t="n">
        <v>5.66</v>
      </c>
    </row>
    <row r="99" customFormat="false" ht="15" hidden="false" customHeight="false" outlineLevel="0" collapsed="false">
      <c r="A99" s="23" t="s">
        <v>227</v>
      </c>
      <c r="B99" s="27" t="n">
        <v>27145.36</v>
      </c>
      <c r="C99" s="27" t="n">
        <v>3082.13</v>
      </c>
      <c r="D99" s="27" t="n">
        <v>2.26</v>
      </c>
      <c r="E99" s="27" t="n">
        <v>6.02</v>
      </c>
      <c r="F99" s="27" t="n">
        <v>13684.95</v>
      </c>
      <c r="G99" s="27" t="n">
        <v>17591.41</v>
      </c>
      <c r="H99" s="27" t="n">
        <v>2.25</v>
      </c>
      <c r="I99" s="27" t="n">
        <v>5.97</v>
      </c>
    </row>
    <row r="100" customFormat="false" ht="15" hidden="false" customHeight="false" outlineLevel="0" collapsed="false">
      <c r="A100" s="23" t="s">
        <v>228</v>
      </c>
      <c r="B100" s="27" t="n">
        <v>26258.82</v>
      </c>
      <c r="C100" s="27" t="n">
        <v>2984.48</v>
      </c>
      <c r="D100" s="27" t="n">
        <v>2.37</v>
      </c>
      <c r="E100" s="27" t="n">
        <v>6.23</v>
      </c>
      <c r="F100" s="27" t="n">
        <v>13240.61</v>
      </c>
      <c r="G100" s="27" t="n">
        <v>17038.15</v>
      </c>
      <c r="H100" s="27" t="n">
        <v>2.36</v>
      </c>
      <c r="I100" s="27" t="n">
        <v>6.19</v>
      </c>
    </row>
    <row r="101" customFormat="false" ht="15" hidden="false" customHeight="false" outlineLevel="0" collapsed="false">
      <c r="A101" s="23" t="s">
        <v>229</v>
      </c>
      <c r="B101" s="27" t="n">
        <v>28355.21</v>
      </c>
      <c r="C101" s="27" t="n">
        <v>3224.6</v>
      </c>
      <c r="D101" s="27" t="n">
        <v>2.18</v>
      </c>
      <c r="E101" s="27" t="n">
        <v>5.87</v>
      </c>
      <c r="F101" s="27" t="n">
        <v>14279.99</v>
      </c>
      <c r="G101" s="27" t="n">
        <v>18386.57</v>
      </c>
      <c r="H101" s="27" t="n">
        <v>2.17</v>
      </c>
      <c r="I101" s="27" t="n">
        <v>5.84</v>
      </c>
    </row>
    <row r="102" customFormat="false" ht="15" hidden="false" customHeight="false" outlineLevel="0" collapsed="false">
      <c r="A102" s="23" t="s">
        <v>230</v>
      </c>
      <c r="B102" s="27" t="n">
        <v>27253.87</v>
      </c>
      <c r="C102" s="27" t="n">
        <v>3109.27</v>
      </c>
      <c r="D102" s="27" t="n">
        <v>2.37</v>
      </c>
      <c r="E102" s="27" t="n">
        <v>6.23</v>
      </c>
      <c r="F102" s="27" t="n">
        <v>13751.73</v>
      </c>
      <c r="G102" s="27" t="n">
        <v>17764.39</v>
      </c>
      <c r="H102" s="27" t="n">
        <v>2.36</v>
      </c>
      <c r="I102" s="27" t="n">
        <v>6.17</v>
      </c>
    </row>
    <row r="103" customFormat="false" ht="15" hidden="false" customHeight="false" outlineLevel="0" collapsed="false">
      <c r="A103" s="23" t="s">
        <v>231</v>
      </c>
      <c r="B103" s="27" t="n">
        <v>29456.04</v>
      </c>
      <c r="C103" s="27" t="n">
        <v>3381.14</v>
      </c>
      <c r="D103" s="27" t="n">
        <v>2.34</v>
      </c>
      <c r="E103" s="27" t="n">
        <v>6.04</v>
      </c>
      <c r="F103" s="27" t="n">
        <v>14855.89</v>
      </c>
      <c r="G103" s="27" t="n">
        <v>19304.13</v>
      </c>
      <c r="H103" s="27" t="n">
        <v>2.33</v>
      </c>
      <c r="I103" s="27" t="n">
        <v>6</v>
      </c>
    </row>
    <row r="104" customFormat="false" ht="15" hidden="false" customHeight="false" outlineLevel="0" collapsed="false">
      <c r="A104" s="23" t="s">
        <v>232</v>
      </c>
      <c r="B104" s="27" t="n">
        <v>30430.9</v>
      </c>
      <c r="C104" s="27" t="n">
        <v>3501.18</v>
      </c>
      <c r="D104" s="27" t="n">
        <v>2.28</v>
      </c>
      <c r="E104" s="27" t="n">
        <v>5.85</v>
      </c>
      <c r="F104" s="27" t="n">
        <v>15323.05</v>
      </c>
      <c r="G104" s="27" t="n">
        <v>19958.81</v>
      </c>
      <c r="H104" s="27" t="n">
        <v>2.27</v>
      </c>
      <c r="I104" s="27" t="n">
        <v>5.82</v>
      </c>
    </row>
    <row r="105" customFormat="false" ht="15" hidden="false" customHeight="false" outlineLevel="0" collapsed="false">
      <c r="A105" s="23" t="s">
        <v>233</v>
      </c>
      <c r="B105" s="27" t="n">
        <v>30266.4</v>
      </c>
      <c r="C105" s="27" t="n">
        <v>3485.37</v>
      </c>
      <c r="D105" s="27" t="n">
        <v>2.3</v>
      </c>
      <c r="E105" s="27" t="n">
        <v>6.15</v>
      </c>
      <c r="F105" s="27" t="n">
        <v>15230.89</v>
      </c>
      <c r="G105" s="27" t="n">
        <v>19857.03</v>
      </c>
      <c r="H105" s="27" t="n">
        <v>2.3</v>
      </c>
      <c r="I105" s="27" t="n">
        <v>6.13</v>
      </c>
    </row>
    <row r="106" customFormat="false" ht="15" hidden="false" customHeight="false" outlineLevel="0" collapsed="false">
      <c r="A106" s="23" t="s">
        <v>234</v>
      </c>
      <c r="B106" s="27" t="n">
        <v>32118.89</v>
      </c>
      <c r="C106" s="27" t="n">
        <v>3701.33</v>
      </c>
      <c r="D106" s="27" t="n">
        <v>2.2</v>
      </c>
      <c r="E106" s="27" t="n">
        <v>5.82</v>
      </c>
      <c r="F106" s="27" t="n">
        <v>16166.09</v>
      </c>
      <c r="G106" s="27" t="n">
        <v>21091.77</v>
      </c>
      <c r="H106" s="27" t="n">
        <v>2.2</v>
      </c>
      <c r="I106" s="27" t="n">
        <v>5.79</v>
      </c>
    </row>
    <row r="107" customFormat="false" ht="15" hidden="false" customHeight="false" outlineLevel="0" collapsed="false">
      <c r="A107" s="23" t="s">
        <v>235</v>
      </c>
      <c r="B107" s="27" t="n">
        <v>31398.75</v>
      </c>
      <c r="C107" s="27" t="n">
        <v>3621.62</v>
      </c>
      <c r="D107" s="27" t="n">
        <v>2.27</v>
      </c>
      <c r="E107" s="27" t="n">
        <v>5.95</v>
      </c>
      <c r="F107" s="27" t="n">
        <v>15765.26</v>
      </c>
      <c r="G107" s="27" t="n">
        <v>20588.31</v>
      </c>
      <c r="H107" s="27" t="n">
        <v>2.27</v>
      </c>
      <c r="I107" s="27" t="n">
        <v>5.94</v>
      </c>
    </row>
    <row r="108" customFormat="false" ht="15" hidden="false" customHeight="false" outlineLevel="0" collapsed="false">
      <c r="A108" s="23" t="s">
        <v>236</v>
      </c>
      <c r="B108" s="27" t="n">
        <v>32272.09</v>
      </c>
      <c r="C108" s="27" t="n">
        <v>3723.2</v>
      </c>
      <c r="D108" s="27" t="n">
        <v>2.21</v>
      </c>
      <c r="E108" s="27" t="n">
        <v>6.49</v>
      </c>
      <c r="F108" s="27" t="n">
        <v>16207.75</v>
      </c>
      <c r="G108" s="27" t="n">
        <v>21171.23</v>
      </c>
      <c r="H108" s="27" t="n">
        <v>2.21</v>
      </c>
      <c r="I108" s="27" t="n">
        <v>6.41</v>
      </c>
    </row>
    <row r="109" customFormat="false" ht="15" hidden="false" customHeight="false" outlineLevel="0" collapsed="false">
      <c r="A109" s="23" t="s">
        <v>237</v>
      </c>
      <c r="B109" s="27" t="n">
        <v>32204.06</v>
      </c>
      <c r="C109" s="27" t="n">
        <v>3742.65</v>
      </c>
      <c r="D109" s="27" t="n">
        <v>2.46</v>
      </c>
      <c r="E109" s="27" t="n">
        <v>6.5</v>
      </c>
      <c r="F109" s="27" t="n">
        <v>16201.27</v>
      </c>
      <c r="G109" s="27" t="n">
        <v>21313.69</v>
      </c>
      <c r="H109" s="27" t="n">
        <v>2.47</v>
      </c>
      <c r="I109" s="27" t="n">
        <v>6.37</v>
      </c>
    </row>
    <row r="110" customFormat="false" ht="15" hidden="false" customHeight="false" outlineLevel="0" collapsed="false">
      <c r="A110" s="23" t="s">
        <v>238</v>
      </c>
      <c r="B110" s="27" t="n">
        <v>32836.23</v>
      </c>
      <c r="C110" s="27" t="n">
        <v>3826.56</v>
      </c>
      <c r="D110" s="27" t="n">
        <v>2.45</v>
      </c>
      <c r="E110" s="27" t="n">
        <v>6.37</v>
      </c>
      <c r="F110" s="27" t="n">
        <v>16529.98</v>
      </c>
      <c r="G110" s="27" t="n">
        <v>21809.1</v>
      </c>
      <c r="H110" s="27" t="n">
        <v>2.47</v>
      </c>
      <c r="I110" s="27" t="n">
        <v>6.24</v>
      </c>
    </row>
    <row r="111" customFormat="false" ht="15" hidden="false" customHeight="false" outlineLevel="0" collapsed="false">
      <c r="A111" s="23" t="s">
        <v>239</v>
      </c>
      <c r="B111" s="27" t="n">
        <v>32565.73</v>
      </c>
      <c r="C111" s="27" t="n">
        <v>3796.99</v>
      </c>
      <c r="D111" s="27" t="n">
        <v>2.48</v>
      </c>
      <c r="E111" s="27" t="n">
        <v>6.52</v>
      </c>
      <c r="F111" s="27" t="n">
        <v>16400.4</v>
      </c>
      <c r="G111" s="27" t="n">
        <v>21649.91</v>
      </c>
      <c r="H111" s="27" t="n">
        <v>2.5</v>
      </c>
      <c r="I111" s="27" t="n">
        <v>6.4</v>
      </c>
    </row>
    <row r="112" customFormat="false" ht="15" hidden="false" customHeight="false" outlineLevel="0" collapsed="false">
      <c r="A112" s="23" t="s">
        <v>240</v>
      </c>
      <c r="B112" s="27" t="n">
        <v>31864.54</v>
      </c>
      <c r="C112" s="27" t="n">
        <v>3719.91</v>
      </c>
      <c r="D112" s="27" t="n">
        <v>2.56</v>
      </c>
      <c r="E112" s="27" t="n">
        <v>6.73</v>
      </c>
      <c r="F112" s="27" t="n">
        <v>16053.52</v>
      </c>
      <c r="G112" s="27" t="n">
        <v>21219.77</v>
      </c>
      <c r="H112" s="27" t="n">
        <v>2.56</v>
      </c>
      <c r="I112" s="27" t="n">
        <v>6.66</v>
      </c>
    </row>
    <row r="113" customFormat="false" ht="15" hidden="false" customHeight="false" outlineLevel="0" collapsed="false">
      <c r="A113" s="23" t="s">
        <v>241</v>
      </c>
      <c r="B113" s="27" t="n">
        <v>31208.04</v>
      </c>
      <c r="C113" s="27" t="n">
        <v>3645.83</v>
      </c>
      <c r="D113" s="27" t="n">
        <v>2.63</v>
      </c>
      <c r="E113" s="27" t="n">
        <v>6.48</v>
      </c>
      <c r="F113" s="27" t="n">
        <v>15741.43</v>
      </c>
      <c r="G113" s="27" t="n">
        <v>20822.38</v>
      </c>
      <c r="H113" s="27" t="n">
        <v>2.63</v>
      </c>
      <c r="I113" s="27" t="n">
        <v>6.4</v>
      </c>
    </row>
    <row r="114" customFormat="false" ht="15" hidden="false" customHeight="false" outlineLevel="0" collapsed="false">
      <c r="A114" s="23" t="s">
        <v>242</v>
      </c>
      <c r="B114" s="27" t="n">
        <v>31005.5</v>
      </c>
      <c r="C114" s="27" t="n">
        <v>3634.09</v>
      </c>
      <c r="D114" s="27" t="n">
        <v>2.7</v>
      </c>
      <c r="E114" s="27" t="n">
        <v>7.88</v>
      </c>
      <c r="F114" s="27" t="n">
        <v>15658.57</v>
      </c>
      <c r="G114" s="27" t="n">
        <v>20782.92</v>
      </c>
      <c r="H114" s="27" t="n">
        <v>2.7</v>
      </c>
      <c r="I114" s="27" t="n">
        <v>7.73</v>
      </c>
    </row>
    <row r="115" customFormat="false" ht="15" hidden="false" customHeight="false" outlineLevel="0" collapsed="false">
      <c r="A115" s="23" t="s">
        <v>243</v>
      </c>
      <c r="B115" s="27" t="n">
        <v>29674.2</v>
      </c>
      <c r="C115" s="27" t="n">
        <v>3502.83</v>
      </c>
      <c r="D115" s="27" t="n">
        <v>2.98</v>
      </c>
      <c r="E115" s="27" t="n">
        <v>8.25</v>
      </c>
      <c r="F115" s="27" t="n">
        <v>15009.06</v>
      </c>
      <c r="G115" s="27" t="n">
        <v>20057.12</v>
      </c>
      <c r="H115" s="27" t="n">
        <v>2.98</v>
      </c>
      <c r="I115" s="27" t="n">
        <v>8.14</v>
      </c>
    </row>
    <row r="116" customFormat="false" ht="15" hidden="false" customHeight="false" outlineLevel="0" collapsed="false">
      <c r="A116" s="23" t="s">
        <v>244</v>
      </c>
      <c r="B116" s="27" t="n">
        <v>32348.54</v>
      </c>
      <c r="C116" s="27" t="n">
        <v>3830.33</v>
      </c>
      <c r="D116" s="27" t="n">
        <v>2.8</v>
      </c>
      <c r="E116" s="27" t="n">
        <v>7.57</v>
      </c>
      <c r="F116" s="27" t="n">
        <v>16338.54</v>
      </c>
      <c r="G116" s="27" t="n">
        <v>21902.58</v>
      </c>
      <c r="H116" s="27" t="n">
        <v>2.8</v>
      </c>
      <c r="I116" s="27" t="n">
        <v>7.49</v>
      </c>
    </row>
    <row r="117" customFormat="false" ht="15" hidden="false" customHeight="false" outlineLevel="0" collapsed="false">
      <c r="A117" s="23" t="s">
        <v>245</v>
      </c>
      <c r="B117" s="27" t="n">
        <v>32812.64</v>
      </c>
      <c r="C117" s="27" t="n">
        <v>3891.52</v>
      </c>
      <c r="D117" s="27" t="n">
        <v>2.8</v>
      </c>
      <c r="E117" s="27" t="n">
        <v>7.73</v>
      </c>
      <c r="F117" s="27" t="n">
        <v>16581.34</v>
      </c>
      <c r="G117" s="27" t="n">
        <v>22264.37</v>
      </c>
      <c r="H117" s="27" t="n">
        <v>2.8</v>
      </c>
      <c r="I117" s="27" t="n">
        <v>7.65</v>
      </c>
    </row>
    <row r="118" customFormat="false" ht="15" hidden="false" customHeight="false" outlineLevel="0" collapsed="false">
      <c r="A118" s="23" t="s">
        <v>246</v>
      </c>
      <c r="B118" s="27" t="n">
        <v>31985.67</v>
      </c>
      <c r="C118" s="27" t="n">
        <v>3796.35</v>
      </c>
      <c r="D118" s="27" t="n">
        <v>2.89</v>
      </c>
      <c r="E118" s="27" t="n">
        <v>7.87</v>
      </c>
      <c r="F118" s="27" t="n">
        <v>16172.97</v>
      </c>
      <c r="G118" s="27" t="n">
        <v>21732.99</v>
      </c>
      <c r="H118" s="27" t="n">
        <v>2.89</v>
      </c>
      <c r="I118" s="27" t="n">
        <v>7.79</v>
      </c>
    </row>
    <row r="119" customFormat="false" ht="15" hidden="false" customHeight="false" outlineLevel="0" collapsed="false">
      <c r="A119" s="23" t="s">
        <v>247</v>
      </c>
      <c r="B119" s="27" t="n">
        <v>33792.48</v>
      </c>
      <c r="C119" s="27" t="n">
        <v>4013.84</v>
      </c>
      <c r="D119" s="27" t="n">
        <v>2.75</v>
      </c>
      <c r="E119" s="27" t="n">
        <v>7.45</v>
      </c>
      <c r="F119" s="27" t="n">
        <v>17068.69</v>
      </c>
      <c r="G119" s="27" t="n">
        <v>22954.31</v>
      </c>
      <c r="H119" s="27" t="n">
        <v>2.75</v>
      </c>
      <c r="I119" s="27" t="n">
        <v>7.38</v>
      </c>
    </row>
    <row r="120" customFormat="false" ht="15" hidden="false" customHeight="false" outlineLevel="0" collapsed="false">
      <c r="A120" s="23" t="s">
        <v>248</v>
      </c>
      <c r="B120" s="27" t="n">
        <v>34296</v>
      </c>
      <c r="C120" s="27" t="n">
        <v>4081.93</v>
      </c>
      <c r="D120" s="27" t="n">
        <v>2.75</v>
      </c>
      <c r="E120" s="27" t="n">
        <v>7.49</v>
      </c>
      <c r="F120" s="27" t="n">
        <v>17343.73</v>
      </c>
      <c r="G120" s="27" t="n">
        <v>23366.25</v>
      </c>
      <c r="H120" s="27" t="n">
        <v>2.74</v>
      </c>
      <c r="I120" s="27" t="n">
        <v>7.41</v>
      </c>
    </row>
    <row r="121" customFormat="false" ht="15" hidden="false" customHeight="false" outlineLevel="0" collapsed="false">
      <c r="A121" s="23" t="s">
        <v>249</v>
      </c>
      <c r="B121" s="27" t="n">
        <v>33554.21</v>
      </c>
      <c r="C121" s="27" t="n">
        <v>4024.32</v>
      </c>
      <c r="D121" s="27" t="n">
        <v>2.95</v>
      </c>
      <c r="E121" s="27" t="n">
        <v>7.89</v>
      </c>
      <c r="F121" s="27" t="n">
        <v>16975.3</v>
      </c>
      <c r="G121" s="27" t="n">
        <v>23047.21</v>
      </c>
      <c r="H121" s="27" t="n">
        <v>2.95</v>
      </c>
      <c r="I121" s="27" t="n">
        <v>7.85</v>
      </c>
    </row>
    <row r="122" customFormat="false" ht="15" hidden="false" customHeight="false" outlineLevel="0" collapsed="false">
      <c r="A122" s="23" t="s">
        <v>250</v>
      </c>
      <c r="B122" s="27" t="n">
        <v>34399.04</v>
      </c>
      <c r="C122" s="27" t="n">
        <v>4138.34</v>
      </c>
      <c r="D122" s="27" t="n">
        <v>2.97</v>
      </c>
      <c r="E122" s="27" t="n">
        <v>7.68</v>
      </c>
      <c r="F122" s="27" t="n">
        <v>17399.05</v>
      </c>
      <c r="G122" s="27" t="n">
        <v>23695.69</v>
      </c>
      <c r="H122" s="27" t="n">
        <v>2.97</v>
      </c>
      <c r="I122" s="27" t="n">
        <v>7.66</v>
      </c>
    </row>
    <row r="123" customFormat="false" ht="15" hidden="false" customHeight="false" outlineLevel="0" collapsed="false">
      <c r="A123" s="23" t="s">
        <v>251</v>
      </c>
      <c r="B123" s="27" t="n">
        <v>33142.61</v>
      </c>
      <c r="C123" s="27" t="n">
        <v>3989.82</v>
      </c>
      <c r="D123" s="27" t="n">
        <v>3.1</v>
      </c>
      <c r="E123" s="27" t="n">
        <v>8.19</v>
      </c>
      <c r="F123" s="27" t="n">
        <v>16770.98</v>
      </c>
      <c r="G123" s="27" t="n">
        <v>22855.5</v>
      </c>
      <c r="H123" s="27" t="n">
        <v>3.09</v>
      </c>
      <c r="I123" s="27" t="n">
        <v>8.16</v>
      </c>
    </row>
    <row r="124" customFormat="false" ht="15" hidden="false" customHeight="false" outlineLevel="0" collapsed="false">
      <c r="A124" s="23" t="s">
        <v>252</v>
      </c>
      <c r="B124" s="27" t="n">
        <v>33708.31</v>
      </c>
      <c r="C124" s="27" t="n">
        <v>4063.73</v>
      </c>
      <c r="D124" s="27" t="n">
        <v>3.07</v>
      </c>
      <c r="E124" s="27" t="n">
        <v>8.07</v>
      </c>
      <c r="F124" s="27" t="n">
        <v>17053.27</v>
      </c>
      <c r="G124" s="27" t="n">
        <v>23273.57</v>
      </c>
      <c r="H124" s="27" t="n">
        <v>3.07</v>
      </c>
      <c r="I124" s="27" t="n">
        <v>8.05</v>
      </c>
    </row>
    <row r="125" customFormat="false" ht="15" hidden="false" customHeight="false" outlineLevel="0" collapsed="false">
      <c r="A125" s="23" t="s">
        <v>253</v>
      </c>
      <c r="B125" s="27" t="n">
        <v>34596.9</v>
      </c>
      <c r="C125" s="27" t="n">
        <v>4173.68</v>
      </c>
      <c r="D125" s="27" t="n">
        <v>2.99</v>
      </c>
      <c r="E125" s="27" t="n">
        <v>7.61</v>
      </c>
      <c r="F125" s="27" t="n">
        <v>17502.77</v>
      </c>
      <c r="G125" s="27" t="n">
        <v>23903.23</v>
      </c>
      <c r="H125" s="27" t="n">
        <v>2.99</v>
      </c>
      <c r="I125" s="27" t="n">
        <v>7.6</v>
      </c>
    </row>
    <row r="126" customFormat="false" ht="15" hidden="false" customHeight="false" outlineLevel="0" collapsed="false">
      <c r="A126" s="23" t="s">
        <v>254</v>
      </c>
      <c r="B126" s="27" t="n">
        <v>35389.45</v>
      </c>
      <c r="C126" s="27" t="n">
        <v>4288.12</v>
      </c>
      <c r="D126" s="27" t="n">
        <v>3</v>
      </c>
      <c r="E126" s="27" t="n">
        <v>7.3</v>
      </c>
      <c r="F126" s="27" t="n">
        <v>17904.04</v>
      </c>
      <c r="G126" s="27" t="n">
        <v>24559.33</v>
      </c>
      <c r="H126" s="27" t="n">
        <v>3</v>
      </c>
      <c r="I126" s="27" t="n">
        <v>7.3</v>
      </c>
    </row>
    <row r="127" customFormat="false" ht="15" hidden="false" customHeight="false" outlineLevel="0" collapsed="false">
      <c r="A127" s="23" t="s">
        <v>255</v>
      </c>
      <c r="B127" s="27" t="n">
        <v>35757.98</v>
      </c>
      <c r="C127" s="27" t="n">
        <v>4358.65</v>
      </c>
      <c r="D127" s="27" t="n">
        <v>3.04</v>
      </c>
      <c r="E127" s="27" t="n">
        <v>7.3</v>
      </c>
      <c r="F127" s="27" t="n">
        <v>18090.28</v>
      </c>
      <c r="G127" s="27" t="n">
        <v>24962.24</v>
      </c>
      <c r="H127" s="27" t="n">
        <v>3.03</v>
      </c>
      <c r="I127" s="27" t="n">
        <v>7.27</v>
      </c>
    </row>
    <row r="128" customFormat="false" ht="15" hidden="false" customHeight="false" outlineLevel="0" collapsed="false">
      <c r="A128" s="23" t="s">
        <v>256</v>
      </c>
      <c r="B128" s="27" t="n">
        <v>37156.28</v>
      </c>
      <c r="C128" s="27" t="n">
        <v>4542.46</v>
      </c>
      <c r="D128" s="27" t="n">
        <v>2.97</v>
      </c>
      <c r="E128" s="27" t="n">
        <v>7.03</v>
      </c>
      <c r="F128" s="27" t="n">
        <v>18788.55</v>
      </c>
      <c r="G128" s="27" t="n">
        <v>26003.18</v>
      </c>
      <c r="H128" s="27" t="n">
        <v>2.97</v>
      </c>
      <c r="I128" s="27" t="n">
        <v>7</v>
      </c>
    </row>
    <row r="129" customFormat="false" ht="15" hidden="false" customHeight="false" outlineLevel="0" collapsed="false">
      <c r="A129" s="23" t="s">
        <v>257</v>
      </c>
      <c r="B129" s="27" t="n">
        <v>38104.61</v>
      </c>
      <c r="C129" s="27" t="n">
        <v>4662.18</v>
      </c>
      <c r="D129" s="27" t="n">
        <v>2.9</v>
      </c>
      <c r="E129" s="27" t="n">
        <v>6.97</v>
      </c>
      <c r="F129" s="27" t="n">
        <v>19272.31</v>
      </c>
      <c r="G129" s="27" t="n">
        <v>26694.66</v>
      </c>
      <c r="H129" s="27" t="n">
        <v>2.9</v>
      </c>
      <c r="I129" s="27" t="n">
        <v>6.94</v>
      </c>
    </row>
    <row r="130" customFormat="false" ht="15" hidden="false" customHeight="false" outlineLevel="0" collapsed="false">
      <c r="A130" s="23" t="s">
        <v>258</v>
      </c>
      <c r="B130" s="27" t="n">
        <v>39250.24</v>
      </c>
      <c r="C130" s="27" t="n">
        <v>4809.26</v>
      </c>
      <c r="D130" s="27" t="n">
        <v>2.85</v>
      </c>
      <c r="E130" s="27" t="n">
        <v>6.77</v>
      </c>
      <c r="F130" s="27" t="n">
        <v>19849.03</v>
      </c>
      <c r="G130" s="27" t="n">
        <v>27533.54</v>
      </c>
      <c r="H130" s="27" t="n">
        <v>2.85</v>
      </c>
      <c r="I130" s="27" t="n">
        <v>6.74</v>
      </c>
    </row>
    <row r="131" customFormat="false" ht="15" hidden="false" customHeight="false" outlineLevel="0" collapsed="false">
      <c r="A131" s="23" t="s">
        <v>259</v>
      </c>
      <c r="B131" s="27" t="n">
        <v>40482.92</v>
      </c>
      <c r="C131" s="27" t="n">
        <v>4964.47</v>
      </c>
      <c r="D131" s="27" t="n">
        <v>2.78</v>
      </c>
      <c r="E131" s="27" t="n">
        <v>6.57</v>
      </c>
      <c r="F131" s="27" t="n">
        <v>20467.6</v>
      </c>
      <c r="G131" s="27" t="n">
        <v>28415.74</v>
      </c>
      <c r="H131" s="27" t="n">
        <v>2.78</v>
      </c>
      <c r="I131" s="27" t="n">
        <v>6.55</v>
      </c>
    </row>
    <row r="132" customFormat="false" ht="15" hidden="false" customHeight="false" outlineLevel="0" collapsed="false">
      <c r="A132" s="23" t="s">
        <v>260</v>
      </c>
      <c r="B132" s="27" t="n">
        <v>39709.56</v>
      </c>
      <c r="C132" s="27" t="n">
        <v>4870.45</v>
      </c>
      <c r="D132" s="27" t="n">
        <v>2.83</v>
      </c>
      <c r="E132" s="27" t="n">
        <v>6.01</v>
      </c>
      <c r="F132" s="27" t="n">
        <v>20092.74</v>
      </c>
      <c r="G132" s="27" t="n">
        <v>27900.04</v>
      </c>
      <c r="H132" s="27" t="n">
        <v>2.83</v>
      </c>
      <c r="I132" s="27" t="n">
        <v>5.99</v>
      </c>
    </row>
    <row r="133" customFormat="false" ht="15" hidden="false" customHeight="false" outlineLevel="0" collapsed="false">
      <c r="A133" s="23" t="s">
        <v>261</v>
      </c>
      <c r="B133" s="27" t="n">
        <v>39860.84</v>
      </c>
      <c r="C133" s="27" t="n">
        <v>4928.63</v>
      </c>
      <c r="D133" s="27" t="n">
        <v>2.88</v>
      </c>
      <c r="E133" s="27" t="n">
        <v>6.06</v>
      </c>
      <c r="F133" s="27" t="n">
        <v>20188.5</v>
      </c>
      <c r="G133" s="27" t="n">
        <v>28257.4</v>
      </c>
      <c r="H133" s="27" t="n">
        <v>2.86</v>
      </c>
      <c r="I133" s="27" t="n">
        <v>6.02</v>
      </c>
    </row>
    <row r="134" customFormat="false" ht="15" hidden="false" customHeight="false" outlineLevel="0" collapsed="false">
      <c r="A134" s="23" t="s">
        <v>262</v>
      </c>
      <c r="B134" s="27" t="n">
        <v>38735</v>
      </c>
      <c r="C134" s="27" t="n">
        <v>4805.7</v>
      </c>
      <c r="D134" s="27" t="n">
        <v>2.99</v>
      </c>
      <c r="E134" s="27" t="n">
        <v>6.23</v>
      </c>
      <c r="F134" s="27" t="n">
        <v>19637.66</v>
      </c>
      <c r="G134" s="27" t="n">
        <v>27581.57</v>
      </c>
      <c r="H134" s="27" t="n">
        <v>2.97</v>
      </c>
      <c r="I134" s="27" t="n">
        <v>6.19</v>
      </c>
    </row>
    <row r="135" customFormat="false" ht="15" hidden="false" customHeight="false" outlineLevel="0" collapsed="false">
      <c r="A135" s="23" t="s">
        <v>263</v>
      </c>
      <c r="B135" s="27" t="n">
        <v>42016.45</v>
      </c>
      <c r="C135" s="27" t="n">
        <v>5214.73</v>
      </c>
      <c r="D135" s="27" t="n">
        <v>2.75</v>
      </c>
      <c r="E135" s="27" t="n">
        <v>5.71</v>
      </c>
      <c r="F135" s="27" t="n">
        <v>21265.46</v>
      </c>
      <c r="G135" s="27" t="n">
        <v>29879.05</v>
      </c>
      <c r="H135" s="27" t="n">
        <v>2.74</v>
      </c>
      <c r="I135" s="27" t="n">
        <v>5.68</v>
      </c>
    </row>
    <row r="136" customFormat="false" ht="15" hidden="false" customHeight="false" outlineLevel="0" collapsed="false">
      <c r="A136" s="23" t="s">
        <v>264</v>
      </c>
      <c r="B136" s="27" t="n">
        <v>39578.1</v>
      </c>
      <c r="C136" s="27" t="n">
        <v>4917.61</v>
      </c>
      <c r="D136" s="27" t="n">
        <v>2.93</v>
      </c>
      <c r="E136" s="27" t="n">
        <v>6.12</v>
      </c>
      <c r="F136" s="27" t="n">
        <v>20064.97</v>
      </c>
      <c r="G136" s="27" t="n">
        <v>28224.52</v>
      </c>
      <c r="H136" s="27" t="n">
        <v>2.91</v>
      </c>
      <c r="I136" s="27" t="n">
        <v>6.08</v>
      </c>
    </row>
    <row r="137" customFormat="false" ht="15" hidden="false" customHeight="false" outlineLevel="0" collapsed="false">
      <c r="A137" s="23" t="s">
        <v>265</v>
      </c>
      <c r="B137" s="27" t="n">
        <v>41292.84</v>
      </c>
      <c r="C137" s="27" t="n">
        <v>5134.34</v>
      </c>
      <c r="D137" s="27" t="n">
        <v>2.82</v>
      </c>
      <c r="E137" s="27" t="n">
        <v>5.71</v>
      </c>
      <c r="F137" s="27" t="n">
        <v>20908.78</v>
      </c>
      <c r="G137" s="27" t="n">
        <v>29432.9</v>
      </c>
      <c r="H137" s="27" t="n">
        <v>2.8</v>
      </c>
      <c r="I137" s="27" t="n">
        <v>5.67</v>
      </c>
    </row>
    <row r="138" customFormat="false" ht="15" hidden="false" customHeight="false" outlineLevel="0" collapsed="false">
      <c r="A138" s="23" t="s">
        <v>266</v>
      </c>
      <c r="B138" s="27" t="n">
        <v>42228.34</v>
      </c>
      <c r="C138" s="27" t="n">
        <v>5266.66</v>
      </c>
      <c r="D138" s="27" t="n">
        <v>2.8</v>
      </c>
      <c r="E138" s="27" t="n">
        <v>5.63</v>
      </c>
      <c r="F138" s="27" t="n">
        <v>21371.02</v>
      </c>
      <c r="G138" s="27" t="n">
        <v>30177.09</v>
      </c>
      <c r="H138" s="27" t="n">
        <v>2.79</v>
      </c>
      <c r="I138" s="27" t="n">
        <v>5.61</v>
      </c>
    </row>
    <row r="139" customFormat="false" ht="15" hidden="false" customHeight="false" outlineLevel="0" collapsed="false">
      <c r="A139" s="23" t="s">
        <v>267</v>
      </c>
      <c r="B139" s="27" t="n">
        <v>44031.83</v>
      </c>
      <c r="C139" s="27" t="n">
        <v>5534</v>
      </c>
      <c r="D139" s="27" t="n">
        <v>2.78</v>
      </c>
      <c r="E139" s="27" t="n">
        <v>5.51</v>
      </c>
      <c r="F139" s="27" t="n">
        <v>22302.04</v>
      </c>
      <c r="G139" s="27" t="n">
        <v>31726.74</v>
      </c>
      <c r="H139" s="27" t="n">
        <v>2.77</v>
      </c>
      <c r="I139" s="27" t="n">
        <v>5.49</v>
      </c>
    </row>
    <row r="140" customFormat="false" ht="15" hidden="false" customHeight="false" outlineLevel="0" collapsed="false">
      <c r="A140" s="23" t="s">
        <v>268</v>
      </c>
      <c r="B140" s="27" t="n">
        <v>45517.56</v>
      </c>
      <c r="C140" s="27" t="n">
        <v>5733.98</v>
      </c>
      <c r="D140" s="27" t="n">
        <v>2.72</v>
      </c>
      <c r="E140" s="27" t="n">
        <v>5.31</v>
      </c>
      <c r="F140" s="27" t="n">
        <v>23053.14</v>
      </c>
      <c r="G140" s="27" t="n">
        <v>32872.15</v>
      </c>
      <c r="H140" s="27" t="n">
        <v>2.71</v>
      </c>
      <c r="I140" s="27" t="n">
        <v>5.3</v>
      </c>
    </row>
    <row r="141" customFormat="false" ht="15" hidden="false" customHeight="false" outlineLevel="0" collapsed="false">
      <c r="A141" s="23" t="s">
        <v>269</v>
      </c>
      <c r="B141" s="27" t="n">
        <v>44975.6692603</v>
      </c>
      <c r="C141" s="27" t="n">
        <v>5670.88608552</v>
      </c>
      <c r="D141" s="27" t="n">
        <v>2.79</v>
      </c>
      <c r="E141" s="27" t="n">
        <v>5.53</v>
      </c>
      <c r="F141" s="27" t="n">
        <v>22772.47342334</v>
      </c>
      <c r="G141" s="27" t="n">
        <v>32501.96384017</v>
      </c>
      <c r="H141" s="27" t="n">
        <v>2.78</v>
      </c>
      <c r="I141" s="27" t="n">
        <v>5.52</v>
      </c>
    </row>
    <row r="142" customFormat="false" ht="15" hidden="false" customHeight="false" outlineLevel="0" collapsed="false">
      <c r="A142" s="23" t="s">
        <v>270</v>
      </c>
      <c r="B142" s="27" t="n">
        <v>46256.22611176</v>
      </c>
      <c r="C142" s="27" t="n">
        <v>5840.0936576</v>
      </c>
      <c r="D142" s="27" t="n">
        <v>2.72</v>
      </c>
      <c r="E142" s="27" t="n">
        <v>5.38</v>
      </c>
      <c r="F142" s="27" t="n">
        <v>23417.88986826</v>
      </c>
      <c r="G142" s="27" t="n">
        <v>33468.10202606</v>
      </c>
      <c r="H142" s="27" t="n">
        <v>2.71</v>
      </c>
      <c r="I142" s="27" t="n">
        <v>5.37</v>
      </c>
    </row>
    <row r="143" customFormat="false" ht="15" hidden="false" customHeight="false" outlineLevel="0" collapsed="false">
      <c r="A143" s="23" t="s">
        <v>271</v>
      </c>
      <c r="B143" s="27" t="n">
        <v>45132.09564675</v>
      </c>
      <c r="C143" s="27" t="n">
        <v>5702.30230841</v>
      </c>
      <c r="D143" s="27" t="n">
        <v>2.79</v>
      </c>
      <c r="E143" s="27" t="n">
        <v>5.52</v>
      </c>
      <c r="F143" s="27" t="n">
        <v>22837.73179966</v>
      </c>
      <c r="G143" s="27" t="n">
        <v>32662.94969142</v>
      </c>
      <c r="H143" s="27" t="n">
        <v>2.78</v>
      </c>
      <c r="I143" s="27" t="n">
        <v>5.51</v>
      </c>
    </row>
    <row r="144" customFormat="false" ht="15" hidden="false" customHeight="false" outlineLevel="0" collapsed="false">
      <c r="A144" s="23" t="s">
        <v>272</v>
      </c>
      <c r="B144" s="27" t="n">
        <v>47328.92368158</v>
      </c>
      <c r="C144" s="27" t="n">
        <v>5980.80635933</v>
      </c>
      <c r="D144" s="27" t="n">
        <v>2.66</v>
      </c>
      <c r="E144" s="27" t="n">
        <v>5.59</v>
      </c>
      <c r="F144" s="27" t="n">
        <v>23950.384092</v>
      </c>
      <c r="G144" s="27" t="n">
        <v>34259.75221805</v>
      </c>
      <c r="H144" s="27" t="n">
        <v>2.65</v>
      </c>
      <c r="I144" s="27" t="n">
        <v>5.56</v>
      </c>
    </row>
    <row r="145" customFormat="false" ht="15" hidden="false" customHeight="false" outlineLevel="0" collapsed="false">
      <c r="A145" s="23" t="s">
        <v>273</v>
      </c>
      <c r="B145" s="27" t="n">
        <v>47770.92182035</v>
      </c>
      <c r="C145" s="27" t="n">
        <v>6090.4307146</v>
      </c>
      <c r="D145" s="27" t="n">
        <v>2.81</v>
      </c>
      <c r="E145" s="27" t="n">
        <v>5.84</v>
      </c>
      <c r="F145" s="27" t="n">
        <v>24193.36267861</v>
      </c>
      <c r="G145" s="27" t="n">
        <v>34911.13346074</v>
      </c>
      <c r="H145" s="27" t="n">
        <v>2.79</v>
      </c>
      <c r="I145" s="27" t="n">
        <v>5.81</v>
      </c>
    </row>
    <row r="146" customFormat="false" ht="15" hidden="false" customHeight="false" outlineLevel="0" collapsed="false">
      <c r="A146" s="23" t="s">
        <v>274</v>
      </c>
      <c r="B146" s="27" t="n">
        <v>48870.09755683</v>
      </c>
      <c r="C146" s="27" t="n">
        <v>6251.89208796</v>
      </c>
      <c r="D146" s="27" t="n">
        <v>2.81</v>
      </c>
      <c r="E146" s="27" t="n">
        <v>5.73</v>
      </c>
      <c r="F146" s="27" t="n">
        <v>24741.39245754</v>
      </c>
      <c r="G146" s="27" t="n">
        <v>35825.77458061</v>
      </c>
      <c r="H146" s="27" t="n">
        <v>2.8</v>
      </c>
      <c r="I146" s="27" t="n">
        <v>5.71</v>
      </c>
    </row>
    <row r="147" customFormat="false" ht="15" hidden="false" customHeight="false" outlineLevel="0" collapsed="false">
      <c r="A147" s="23" t="s">
        <v>275</v>
      </c>
      <c r="B147" s="27" t="n">
        <v>49632.69867111</v>
      </c>
      <c r="C147" s="27" t="n">
        <v>6351.82472911</v>
      </c>
      <c r="D147" s="27" t="n">
        <v>2.77</v>
      </c>
      <c r="E147" s="27" t="n">
        <v>5.6</v>
      </c>
      <c r="F147" s="27" t="n">
        <v>25141.98233282</v>
      </c>
      <c r="G147" s="27" t="n">
        <v>36419.62013013</v>
      </c>
      <c r="H147" s="27" t="n">
        <v>2.76</v>
      </c>
      <c r="I147" s="27" t="n">
        <v>5.58</v>
      </c>
    </row>
    <row r="148" customFormat="false" ht="15" hidden="false" customHeight="false" outlineLevel="0" collapsed="false">
      <c r="A148" s="23" t="s">
        <v>276</v>
      </c>
      <c r="B148" s="27" t="n">
        <v>50945.25988401</v>
      </c>
      <c r="C148" s="27" t="n">
        <v>6527.53004001</v>
      </c>
      <c r="D148" s="27" t="n">
        <v>2.71</v>
      </c>
      <c r="E148" s="27" t="n">
        <v>5.42</v>
      </c>
      <c r="F148" s="27" t="n">
        <v>25802.99184338</v>
      </c>
      <c r="G148" s="27" t="n">
        <v>37421.90058591</v>
      </c>
      <c r="H148" s="27" t="n">
        <v>2.7</v>
      </c>
      <c r="I148" s="27" t="n">
        <v>5.4</v>
      </c>
    </row>
    <row r="149" customFormat="false" ht="15" hidden="false" customHeight="false" outlineLevel="0" collapsed="false">
      <c r="A149" s="23" t="s">
        <v>277</v>
      </c>
      <c r="B149" s="27" t="n">
        <v>51396.07436287</v>
      </c>
      <c r="C149" s="27" t="n">
        <v>6587.92102351</v>
      </c>
      <c r="D149" s="27" t="n">
        <v>2.69</v>
      </c>
      <c r="E149" s="27" t="n">
        <v>5.53</v>
      </c>
      <c r="F149" s="27" t="n">
        <v>26020.81425467</v>
      </c>
      <c r="G149" s="27" t="n">
        <v>37752.99236463</v>
      </c>
      <c r="H149" s="27" t="n">
        <v>2.69</v>
      </c>
      <c r="I149" s="27" t="n">
        <v>5.52</v>
      </c>
    </row>
    <row r="150" customFormat="false" ht="15" hidden="false" customHeight="false" outlineLevel="0" collapsed="false">
      <c r="A150" s="23" t="s">
        <v>278</v>
      </c>
      <c r="B150" s="27" t="n">
        <v>50959.01988537</v>
      </c>
      <c r="C150" s="27" t="n">
        <v>6557.70906447</v>
      </c>
      <c r="D150" s="27" t="n">
        <v>2.76</v>
      </c>
      <c r="E150" s="27" t="n">
        <v>5.64</v>
      </c>
      <c r="F150" s="27" t="n">
        <v>25816.34055153</v>
      </c>
      <c r="G150" s="27" t="n">
        <v>37605.48471004</v>
      </c>
      <c r="H150" s="27" t="n">
        <v>2.75</v>
      </c>
      <c r="I150" s="27" t="n">
        <v>5.62</v>
      </c>
    </row>
    <row r="151" customFormat="false" ht="15" hidden="false" customHeight="false" outlineLevel="0" collapsed="false">
      <c r="A151" s="23" t="s">
        <v>279</v>
      </c>
      <c r="B151" s="27" t="n">
        <v>49336.30695116</v>
      </c>
      <c r="C151" s="27" t="n">
        <v>6388.5908004</v>
      </c>
      <c r="D151" s="27" t="n">
        <v>2.94</v>
      </c>
      <c r="E151" s="27" t="n">
        <v>5.91</v>
      </c>
      <c r="F151" s="27" t="n">
        <v>25000.38991238</v>
      </c>
      <c r="G151" s="27" t="n">
        <v>36640.97081412</v>
      </c>
      <c r="H151" s="27" t="n">
        <v>2.94</v>
      </c>
      <c r="I151" s="27" t="n">
        <v>5.9</v>
      </c>
    </row>
    <row r="152" customFormat="false" ht="15" hidden="false" customHeight="false" outlineLevel="0" collapsed="false">
      <c r="A152" s="23" t="s">
        <v>280</v>
      </c>
      <c r="B152" s="27" t="n">
        <v>49722.88244</v>
      </c>
      <c r="C152" s="27" t="n">
        <v>6452.80865521</v>
      </c>
      <c r="D152" s="27" t="n">
        <v>2.92</v>
      </c>
      <c r="E152" s="27" t="n">
        <v>5.88</v>
      </c>
      <c r="F152" s="27" t="n">
        <v>25207.71397325</v>
      </c>
      <c r="G152" s="27" t="n">
        <v>37026.42908517</v>
      </c>
      <c r="H152" s="27" t="n">
        <v>2.92</v>
      </c>
      <c r="I152" s="27" t="n">
        <v>5.86</v>
      </c>
    </row>
    <row r="153" customFormat="false" ht="15" hidden="false" customHeight="false" outlineLevel="0" collapsed="false">
      <c r="A153" s="23" t="s">
        <v>281</v>
      </c>
      <c r="B153" s="27" t="n">
        <v>49911.37181676</v>
      </c>
      <c r="C153" s="27" t="n">
        <v>6487.84893425</v>
      </c>
      <c r="D153" s="27" t="n">
        <v>2.95</v>
      </c>
      <c r="E153" s="27" t="n">
        <v>5.88</v>
      </c>
      <c r="F153" s="27" t="n">
        <v>25311.16438053</v>
      </c>
      <c r="G153" s="27" t="n">
        <v>37239.35220205</v>
      </c>
      <c r="H153" s="27" t="n">
        <v>2.94</v>
      </c>
      <c r="I153" s="27" t="n">
        <v>5.87</v>
      </c>
    </row>
    <row r="154" customFormat="false" ht="15" hidden="false" customHeight="false" outlineLevel="0" collapsed="false">
      <c r="A154" s="23" t="s">
        <v>282</v>
      </c>
      <c r="B154" s="27" t="n">
        <v>49770.59705483</v>
      </c>
      <c r="C154" s="27" t="n">
        <v>6475.34622522</v>
      </c>
      <c r="D154" s="27" t="n">
        <v>2.97</v>
      </c>
      <c r="E154" s="27" t="n">
        <v>5.89</v>
      </c>
      <c r="F154" s="27" t="n">
        <v>25244.55239107</v>
      </c>
      <c r="G154" s="27" t="n">
        <v>37174.73721233</v>
      </c>
      <c r="H154" s="27" t="n">
        <v>2.97</v>
      </c>
      <c r="I154" s="27" t="n">
        <v>5.89</v>
      </c>
    </row>
    <row r="155" customFormat="false" ht="15" hidden="false" customHeight="false" outlineLevel="0" collapsed="false">
      <c r="A155" s="23" t="s">
        <v>283</v>
      </c>
      <c r="B155" s="27" t="n">
        <v>51266.80536817</v>
      </c>
      <c r="C155" s="27" t="n">
        <v>6674.84874684</v>
      </c>
      <c r="D155" s="27" t="n">
        <v>2.89</v>
      </c>
      <c r="E155" s="27" t="n">
        <v>5.74</v>
      </c>
      <c r="F155" s="27" t="n">
        <v>26003.45647078</v>
      </c>
      <c r="G155" s="27" t="n">
        <v>38320.07424239</v>
      </c>
      <c r="H155" s="27" t="n">
        <v>2.89</v>
      </c>
      <c r="I155" s="27" t="n">
        <v>5.74</v>
      </c>
    </row>
    <row r="156" customFormat="false" ht="15" hidden="false" customHeight="false" outlineLevel="0" collapsed="false">
      <c r="A156" s="23" t="s">
        <v>284</v>
      </c>
      <c r="B156" s="27" t="n">
        <v>53344.2008349</v>
      </c>
      <c r="C156" s="27" t="n">
        <v>6946.39601778</v>
      </c>
      <c r="D156" s="27" t="n">
        <v>2.78</v>
      </c>
      <c r="E156" s="27" t="n">
        <v>5.31</v>
      </c>
      <c r="F156" s="27" t="n">
        <v>27057.14924925</v>
      </c>
      <c r="G156" s="27" t="n">
        <v>39879.0176698</v>
      </c>
      <c r="H156" s="27" t="n">
        <v>2.78</v>
      </c>
      <c r="I156" s="27" t="n">
        <v>5.31</v>
      </c>
    </row>
    <row r="157" customFormat="false" ht="15" hidden="false" customHeight="false" outlineLevel="0" collapsed="false">
      <c r="A157" s="23" t="s">
        <v>285</v>
      </c>
      <c r="B157" s="27" t="n">
        <v>52181.94574774</v>
      </c>
      <c r="C157" s="27" t="n">
        <v>6853.85211589</v>
      </c>
      <c r="D157" s="27" t="n">
        <v>2.92</v>
      </c>
      <c r="E157" s="27" t="n">
        <v>5.44</v>
      </c>
      <c r="F157" s="27" t="n">
        <v>26467.63232207</v>
      </c>
      <c r="G157" s="27" t="n">
        <v>39347.72635135</v>
      </c>
      <c r="H157" s="27" t="n">
        <v>2.92</v>
      </c>
      <c r="I157" s="27" t="n">
        <v>5.44</v>
      </c>
    </row>
    <row r="158" customFormat="false" ht="15" hidden="false" customHeight="false" outlineLevel="0" collapsed="false">
      <c r="A158" s="23" t="s">
        <v>286</v>
      </c>
      <c r="B158" s="27" t="n">
        <v>54440.42943226</v>
      </c>
      <c r="C158" s="27" t="n">
        <v>7175.87557669</v>
      </c>
      <c r="D158" s="27" t="n">
        <v>2.84</v>
      </c>
      <c r="E158" s="27" t="n">
        <v>5.22</v>
      </c>
      <c r="F158" s="27" t="n">
        <v>27613.17633946</v>
      </c>
      <c r="G158" s="27" t="n">
        <v>41196.45182718</v>
      </c>
      <c r="H158" s="27" t="n">
        <v>2.84</v>
      </c>
      <c r="I158" s="27" t="n">
        <v>5.22</v>
      </c>
    </row>
    <row r="159" customFormat="false" ht="15" hidden="false" customHeight="false" outlineLevel="0" collapsed="false">
      <c r="A159" s="23" t="s">
        <v>287</v>
      </c>
      <c r="B159" s="27" t="n">
        <v>52270.86059884</v>
      </c>
      <c r="C159" s="27" t="n">
        <v>6892.15871403</v>
      </c>
      <c r="D159" s="27" t="n">
        <v>2.98</v>
      </c>
      <c r="E159" s="27" t="n">
        <v>5.47</v>
      </c>
      <c r="F159" s="27" t="n">
        <v>26512.73155233</v>
      </c>
      <c r="G159" s="27" t="n">
        <v>39567.64319745</v>
      </c>
      <c r="H159" s="27" t="n">
        <v>2.98</v>
      </c>
      <c r="I159" s="27" t="n">
        <v>5.47</v>
      </c>
    </row>
    <row r="160" customFormat="false" ht="15" hidden="false" customHeight="false" outlineLevel="0" collapsed="false">
      <c r="A160" s="23" t="s">
        <v>288</v>
      </c>
      <c r="B160" s="27" t="n">
        <v>51806.94644691</v>
      </c>
      <c r="C160" s="27" t="n">
        <v>6840.02015427</v>
      </c>
      <c r="D160" s="27" t="n">
        <v>3.01</v>
      </c>
      <c r="E160" s="27" t="n">
        <v>5.73</v>
      </c>
      <c r="F160" s="27" t="n">
        <v>26277.42585366</v>
      </c>
      <c r="G160" s="27" t="n">
        <v>39268.31754131</v>
      </c>
      <c r="H160" s="27" t="n">
        <v>3.01</v>
      </c>
      <c r="I160" s="27" t="n">
        <v>5.73</v>
      </c>
    </row>
    <row r="161" customFormat="false" ht="15" hidden="false" customHeight="false" outlineLevel="0" collapsed="false">
      <c r="A161" s="23" t="s">
        <v>289</v>
      </c>
      <c r="B161" s="27" t="n">
        <v>52053.26606937</v>
      </c>
      <c r="C161" s="27" t="n">
        <v>6875.75731085</v>
      </c>
      <c r="D161" s="27" t="n">
        <v>3.01</v>
      </c>
      <c r="E161" s="27" t="n">
        <v>5.57</v>
      </c>
      <c r="F161" s="27" t="n">
        <v>26402.3636479</v>
      </c>
      <c r="G161" s="27" t="n">
        <v>39473.48331292</v>
      </c>
      <c r="H161" s="27" t="n">
        <v>3.01</v>
      </c>
      <c r="I161" s="27" t="n">
        <v>5.57</v>
      </c>
    </row>
    <row r="162" customFormat="false" ht="15" hidden="false" customHeight="false" outlineLevel="0" collapsed="false">
      <c r="A162" s="23" t="s">
        <v>290</v>
      </c>
      <c r="B162" s="27" t="n">
        <v>49972.33087763</v>
      </c>
      <c r="C162" s="27" t="n">
        <v>6631.38734769</v>
      </c>
      <c r="D162" s="27" t="n">
        <v>3.19</v>
      </c>
      <c r="E162" s="27" t="n">
        <v>5.6</v>
      </c>
      <c r="F162" s="27" t="n">
        <v>25346.8754565</v>
      </c>
      <c r="G162" s="27" t="n">
        <v>38070.56386317</v>
      </c>
      <c r="H162" s="27" t="n">
        <v>3.19</v>
      </c>
      <c r="I162" s="27" t="n">
        <v>5.6</v>
      </c>
    </row>
    <row r="163" customFormat="false" ht="15" hidden="false" customHeight="false" outlineLevel="0" collapsed="false">
      <c r="A163" s="23" t="s">
        <v>291</v>
      </c>
      <c r="B163" s="27" t="n">
        <v>50088.85565695</v>
      </c>
      <c r="C163" s="27" t="n">
        <v>6694.61205696</v>
      </c>
      <c r="D163" s="27" t="n">
        <v>3.22</v>
      </c>
      <c r="E163" s="27" t="n">
        <v>5.46</v>
      </c>
      <c r="F163" s="27" t="n">
        <v>25405.66225257</v>
      </c>
      <c r="G163" s="27" t="n">
        <v>38433.06516159</v>
      </c>
      <c r="H163" s="27" t="n">
        <v>3.22</v>
      </c>
      <c r="I163" s="27" t="n">
        <v>5.46</v>
      </c>
    </row>
    <row r="164" customFormat="false" ht="15" hidden="false" customHeight="false" outlineLevel="0" collapsed="false">
      <c r="A164" s="23" t="s">
        <v>292</v>
      </c>
      <c r="B164" s="27" t="n">
        <v>53793.73914117</v>
      </c>
      <c r="C164" s="27" t="n">
        <v>7204.18017193</v>
      </c>
      <c r="D164" s="27" t="n">
        <v>3</v>
      </c>
      <c r="E164" s="27" t="n">
        <v>5.07</v>
      </c>
      <c r="F164" s="27" t="n">
        <v>27282.20130455</v>
      </c>
      <c r="G164" s="27" t="n">
        <v>41354.55993596</v>
      </c>
      <c r="H164" s="27" t="n">
        <v>3</v>
      </c>
      <c r="I164" s="27" t="n">
        <v>5.08</v>
      </c>
    </row>
    <row r="165" customFormat="false" ht="15" hidden="false" customHeight="false" outlineLevel="0" collapsed="false">
      <c r="A165" s="23" t="s">
        <v>293</v>
      </c>
      <c r="B165" s="27" t="n">
        <v>51607.82751664</v>
      </c>
      <c r="C165" s="27" t="n">
        <v>6926.21020122</v>
      </c>
      <c r="D165" s="27" t="n">
        <v>3.14</v>
      </c>
      <c r="E165" s="27" t="n">
        <v>5.1</v>
      </c>
      <c r="F165" s="27" t="n">
        <v>26170.31577401</v>
      </c>
      <c r="G165" s="27" t="n">
        <v>39754.04918748</v>
      </c>
      <c r="H165" s="27" t="n">
        <v>3.14</v>
      </c>
      <c r="I165" s="27" t="n">
        <v>5.11</v>
      </c>
    </row>
    <row r="166" customFormat="false" ht="15" hidden="false" customHeight="false" outlineLevel="0" collapsed="false">
      <c r="A166" s="23" t="s">
        <v>294</v>
      </c>
      <c r="B166" s="27" t="n">
        <v>50693.76441741</v>
      </c>
      <c r="C166" s="27" t="n">
        <v>6807.38395039</v>
      </c>
      <c r="D166" s="27" t="n">
        <v>3.17</v>
      </c>
      <c r="E166" s="27" t="n">
        <v>5.19</v>
      </c>
      <c r="F166" s="27" t="n">
        <v>25723.4181142</v>
      </c>
      <c r="G166" s="27" t="n">
        <v>39097.32119912</v>
      </c>
      <c r="H166" s="27" t="n">
        <v>3.37</v>
      </c>
      <c r="I166" s="27" t="n">
        <v>5.51</v>
      </c>
    </row>
    <row r="167" customFormat="false" ht="15" hidden="false" customHeight="false" outlineLevel="0" collapsed="false">
      <c r="A167" s="23" t="s">
        <v>295</v>
      </c>
      <c r="B167" s="27" t="n">
        <v>49141.93942443</v>
      </c>
      <c r="C167" s="27" t="n">
        <v>6604.10749828</v>
      </c>
      <c r="D167" s="27" t="n">
        <v>3.25</v>
      </c>
      <c r="E167" s="27" t="n">
        <v>5.36</v>
      </c>
      <c r="F167" s="27" t="n">
        <v>24920.22760352</v>
      </c>
      <c r="G167" s="27" t="n">
        <v>37908.75725119</v>
      </c>
      <c r="H167" s="27" t="n">
        <v>3.47</v>
      </c>
      <c r="I167" s="27" t="n">
        <v>5.69</v>
      </c>
    </row>
    <row r="168" customFormat="false" ht="15" hidden="false" customHeight="false" outlineLevel="0" collapsed="false">
      <c r="A168" s="23" t="s">
        <v>296</v>
      </c>
      <c r="B168" s="27" t="n">
        <v>49415.30689896</v>
      </c>
      <c r="C168" s="27" t="n">
        <v>6643.16428457</v>
      </c>
      <c r="D168" s="27" t="n">
        <v>3.23</v>
      </c>
      <c r="E168" s="27" t="n">
        <v>5.1</v>
      </c>
      <c r="F168" s="27" t="n">
        <v>25165.06419512</v>
      </c>
      <c r="G168" s="27" t="n">
        <v>38295.79384128</v>
      </c>
      <c r="H168" s="27" t="n">
        <v>3.43</v>
      </c>
      <c r="I168" s="27" t="n">
        <v>5.38</v>
      </c>
    </row>
    <row r="169" customFormat="false" ht="15" hidden="false" customHeight="false" outlineLevel="0" collapsed="false">
      <c r="A169" s="23" t="s">
        <v>297</v>
      </c>
      <c r="B169" s="27" t="n">
        <v>52250.27679083</v>
      </c>
      <c r="C169" s="27" t="n">
        <v>7070.92084398</v>
      </c>
      <c r="D169" s="27" t="n">
        <v>2.87</v>
      </c>
      <c r="E169" s="27" t="n">
        <v>4.65</v>
      </c>
      <c r="F169" s="27" t="n">
        <v>26665.11103301</v>
      </c>
      <c r="G169" s="27" t="n">
        <v>40867.26478278</v>
      </c>
      <c r="H169" s="27" t="n">
        <v>2.98</v>
      </c>
      <c r="I169" s="27" t="n">
        <v>4.8</v>
      </c>
    </row>
    <row r="170" customFormat="false" ht="15" hidden="false" customHeight="false" outlineLevel="0" collapsed="false">
      <c r="A170" s="23" t="s">
        <v>298</v>
      </c>
      <c r="B170" s="27" t="n">
        <v>52957.32301</v>
      </c>
      <c r="C170" s="27" t="n">
        <v>7190.887545</v>
      </c>
      <c r="D170" s="27" t="n">
        <v>2.86</v>
      </c>
      <c r="E170" s="27" t="n">
        <v>4.58</v>
      </c>
      <c r="F170" s="27" t="n">
        <v>27109.9775349</v>
      </c>
      <c r="G170" s="27" t="n">
        <v>41698.14241833</v>
      </c>
      <c r="H170" s="27" t="n">
        <v>2.96</v>
      </c>
      <c r="I170" s="27" t="n">
        <v>4.72</v>
      </c>
    </row>
    <row r="171" customFormat="false" ht="15" hidden="false" customHeight="false" outlineLevel="0" collapsed="false">
      <c r="A171" s="23" t="s">
        <v>299</v>
      </c>
      <c r="B171" s="27" t="n">
        <v>53905.20968127</v>
      </c>
      <c r="C171" s="27" t="n">
        <v>7322.95137885</v>
      </c>
      <c r="D171" s="27" t="n">
        <v>2.82</v>
      </c>
      <c r="E171" s="27" t="n">
        <v>4.53</v>
      </c>
      <c r="F171" s="27" t="n">
        <v>27395.9379402</v>
      </c>
      <c r="G171" s="27" t="n">
        <v>42158.45878382</v>
      </c>
      <c r="H171" s="27" t="n">
        <v>2.94</v>
      </c>
      <c r="I171" s="27" t="n">
        <v>4.7</v>
      </c>
    </row>
    <row r="172" customFormat="false" ht="15" hidden="false" customHeight="false" outlineLevel="0" collapsed="false">
      <c r="A172" s="23" t="s">
        <v>300</v>
      </c>
      <c r="B172" s="27" t="n">
        <v>52217.71642221</v>
      </c>
      <c r="C172" s="27" t="n">
        <v>7101.74359866</v>
      </c>
      <c r="D172" s="27" t="n">
        <v>2.93</v>
      </c>
      <c r="E172" s="27" t="n">
        <v>4.52</v>
      </c>
      <c r="F172" s="27" t="n">
        <v>26621.31576364</v>
      </c>
      <c r="G172" s="27" t="n">
        <v>41015.9427855</v>
      </c>
      <c r="H172" s="27" t="n">
        <v>3.08</v>
      </c>
      <c r="I172" s="27" t="n">
        <v>4.71</v>
      </c>
    </row>
    <row r="173" customFormat="false" ht="15" hidden="false" customHeight="false" outlineLevel="0" collapsed="false">
      <c r="A173" s="23" t="s">
        <v>301</v>
      </c>
      <c r="B173" s="27" t="n">
        <v>52797.57842232</v>
      </c>
      <c r="C173" s="27" t="n">
        <v>7184.24579229</v>
      </c>
      <c r="D173" s="27" t="n">
        <v>2.91</v>
      </c>
      <c r="E173" s="27" t="n">
        <v>4.49</v>
      </c>
      <c r="F173" s="27" t="n">
        <v>27006.80334074</v>
      </c>
      <c r="G173" s="27" t="n">
        <v>41632.43548362</v>
      </c>
      <c r="H173" s="27" t="n">
        <v>3.04</v>
      </c>
      <c r="I173" s="27" t="n">
        <v>4.67</v>
      </c>
    </row>
    <row r="174" customFormat="false" ht="15" hidden="false" customHeight="false" outlineLevel="0" collapsed="false">
      <c r="A174" s="23" t="s">
        <v>302</v>
      </c>
      <c r="B174" s="27" t="n">
        <v>52733.12330786</v>
      </c>
      <c r="C174" s="27" t="n">
        <v>7202.75525449</v>
      </c>
      <c r="D174" s="27" t="n">
        <v>2.7</v>
      </c>
      <c r="E174" s="27" t="n">
        <v>4.26</v>
      </c>
      <c r="F174" s="27" t="n">
        <v>26822.19228598</v>
      </c>
      <c r="G174" s="27" t="n">
        <v>41496.26092573</v>
      </c>
      <c r="H174" s="27" t="n">
        <v>2.83</v>
      </c>
      <c r="I174" s="27" t="n">
        <v>4.44</v>
      </c>
    </row>
    <row r="175" customFormat="false" ht="15" hidden="false" customHeight="false" outlineLevel="0" collapsed="false">
      <c r="A175" s="23" t="s">
        <v>303</v>
      </c>
      <c r="B175" s="27" t="n">
        <v>51949.83422876</v>
      </c>
      <c r="C175" s="27" t="n">
        <v>7135.68406362</v>
      </c>
      <c r="D175" s="27" t="n">
        <v>2.86</v>
      </c>
      <c r="E175" s="27" t="n">
        <v>4.28</v>
      </c>
      <c r="F175" s="27" t="n">
        <v>26465.79499281</v>
      </c>
      <c r="G175" s="27" t="n">
        <v>41187.97772322</v>
      </c>
      <c r="H175" s="27" t="n">
        <v>3.01</v>
      </c>
      <c r="I175" s="27" t="n">
        <v>4.47</v>
      </c>
    </row>
    <row r="176" customFormat="false" ht="15" hidden="false" customHeight="false" outlineLevel="0" collapsed="false">
      <c r="A176" s="23" t="s">
        <v>304</v>
      </c>
      <c r="B176" s="27" t="n">
        <v>50590.07707946</v>
      </c>
      <c r="C176" s="27" t="n">
        <v>6957.94011649</v>
      </c>
      <c r="D176" s="27" t="n">
        <v>2.93</v>
      </c>
      <c r="E176" s="27" t="n">
        <v>4.38</v>
      </c>
      <c r="F176" s="27" t="n">
        <v>25807.15971292</v>
      </c>
      <c r="G176" s="27" t="n">
        <v>40218.10173582</v>
      </c>
      <c r="H176" s="27" t="n">
        <v>3.08</v>
      </c>
      <c r="I176" s="27" t="n">
        <v>4.57</v>
      </c>
    </row>
    <row r="177" customFormat="false" ht="15" hidden="false" customHeight="false" outlineLevel="0" collapsed="false">
      <c r="A177" s="23" t="s">
        <v>305</v>
      </c>
      <c r="B177" s="27" t="n">
        <v>50209.43252597</v>
      </c>
      <c r="C177" s="27" t="n">
        <v>6919.32679337</v>
      </c>
      <c r="D177" s="27" t="n">
        <v>2.98</v>
      </c>
      <c r="E177" s="27" t="n">
        <v>4.38</v>
      </c>
      <c r="F177" s="27" t="n">
        <v>25733.40712089</v>
      </c>
      <c r="G177" s="27" t="n">
        <v>40187.13090501</v>
      </c>
      <c r="H177" s="27" t="n">
        <v>3.12</v>
      </c>
      <c r="I177" s="27" t="n">
        <v>4.54</v>
      </c>
    </row>
    <row r="178" customFormat="false" ht="15" hidden="false" customHeight="false" outlineLevel="0" collapsed="false">
      <c r="A178" s="23" t="s">
        <v>306</v>
      </c>
      <c r="B178" s="27" t="n">
        <v>50653.54257574</v>
      </c>
      <c r="C178" s="27" t="n">
        <v>6986.3292585</v>
      </c>
      <c r="D178" s="27" t="n">
        <v>2.91</v>
      </c>
      <c r="E178" s="27" t="n">
        <v>4.38</v>
      </c>
      <c r="F178" s="27" t="n">
        <v>25998.96535146</v>
      </c>
      <c r="G178" s="27" t="n">
        <v>40637.24588358</v>
      </c>
      <c r="H178" s="27" t="n">
        <v>3.02</v>
      </c>
      <c r="I178" s="27" t="n">
        <v>4.5</v>
      </c>
    </row>
    <row r="179" customFormat="false" ht="15" hidden="false" customHeight="false" outlineLevel="0" collapsed="false">
      <c r="A179" s="23" t="s">
        <v>307</v>
      </c>
      <c r="B179" s="27" t="n">
        <v>52788.11763701</v>
      </c>
      <c r="C179" s="27" t="n">
        <v>7287.3353369</v>
      </c>
      <c r="D179" s="27" t="n">
        <v>2.82</v>
      </c>
      <c r="E179" s="27" t="n">
        <v>4.26</v>
      </c>
      <c r="F179" s="27" t="n">
        <v>27073.95580627</v>
      </c>
      <c r="G179" s="27" t="n">
        <v>42357.47326476</v>
      </c>
      <c r="H179" s="27" t="n">
        <v>2.93</v>
      </c>
      <c r="I179" s="27" t="n">
        <v>4.38</v>
      </c>
    </row>
    <row r="180" customFormat="false" ht="15" hidden="false" customHeight="false" outlineLevel="0" collapsed="false">
      <c r="A180" s="23" t="s">
        <v>308</v>
      </c>
      <c r="B180" s="27" t="n">
        <v>51146.04539822</v>
      </c>
      <c r="C180" s="27" t="n">
        <v>7060.6492646</v>
      </c>
      <c r="D180" s="27" t="n">
        <v>2.91</v>
      </c>
      <c r="E180" s="27" t="n">
        <v>5.06</v>
      </c>
      <c r="F180" s="27" t="n">
        <v>26217.78805733</v>
      </c>
      <c r="G180" s="27" t="n">
        <v>41017.99030203</v>
      </c>
      <c r="H180" s="27" t="n">
        <v>3.03</v>
      </c>
      <c r="I180" s="27" t="n">
        <v>5.22</v>
      </c>
    </row>
    <row r="181" customFormat="false" ht="15" hidden="false" customHeight="false" outlineLevel="0" collapsed="false">
      <c r="A181" s="23" t="s">
        <v>309</v>
      </c>
      <c r="B181" s="27" t="n">
        <v>52056.05717099</v>
      </c>
      <c r="C181" s="27" t="n">
        <v>7250.08078973</v>
      </c>
      <c r="D181" s="27" t="n">
        <v>2.82</v>
      </c>
      <c r="E181" s="27" t="n">
        <v>5.13</v>
      </c>
      <c r="F181" s="27" t="n">
        <v>26578.46443575</v>
      </c>
      <c r="G181" s="27" t="n">
        <v>41969.32356293</v>
      </c>
      <c r="H181" s="27" t="n">
        <v>2.96</v>
      </c>
      <c r="I181" s="27" t="n">
        <v>5.35</v>
      </c>
    </row>
    <row r="182" customFormat="false" ht="15" hidden="false" customHeight="false" outlineLevel="0" collapsed="false">
      <c r="A182" s="23" t="s">
        <v>310</v>
      </c>
      <c r="B182" s="27" t="n">
        <v>53817.306109</v>
      </c>
      <c r="C182" s="27" t="n">
        <v>7514.33402989</v>
      </c>
      <c r="D182" s="27" t="n">
        <v>2.73</v>
      </c>
      <c r="E182" s="27" t="n">
        <v>4.96</v>
      </c>
      <c r="F182" s="27" t="n">
        <v>27388.11665232</v>
      </c>
      <c r="G182" s="27" t="n">
        <v>43363.27718579</v>
      </c>
      <c r="H182" s="27" t="n">
        <v>2.88</v>
      </c>
      <c r="I182" s="27" t="n">
        <v>5.18</v>
      </c>
    </row>
    <row r="183" customFormat="false" ht="15" hidden="false" customHeight="false" outlineLevel="0" collapsed="false">
      <c r="A183" s="23" t="s">
        <v>311</v>
      </c>
      <c r="B183" s="27" t="n">
        <v>53562.57080933</v>
      </c>
      <c r="C183" s="27" t="n">
        <v>7482.46905926</v>
      </c>
      <c r="D183" s="27" t="n">
        <v>2.74</v>
      </c>
      <c r="E183" s="27" t="n">
        <v>5.01</v>
      </c>
      <c r="F183" s="27" t="n">
        <v>27141.8501792</v>
      </c>
      <c r="G183" s="27" t="n">
        <v>42995.96611758</v>
      </c>
      <c r="H183" s="27" t="n">
        <v>2.9</v>
      </c>
      <c r="I183" s="27" t="n">
        <v>5.26</v>
      </c>
    </row>
    <row r="184" customFormat="false" ht="15" hidden="false" customHeight="false" outlineLevel="0" collapsed="false">
      <c r="A184" s="23" t="s">
        <v>312</v>
      </c>
      <c r="B184" s="27" t="n">
        <v>51611.01355761</v>
      </c>
      <c r="C184" s="27" t="n">
        <v>7221.6199038</v>
      </c>
      <c r="D184" s="27" t="n">
        <v>2.89</v>
      </c>
      <c r="E184" s="27" t="n">
        <v>5.07</v>
      </c>
      <c r="F184" s="27" t="n">
        <v>26194.81943517</v>
      </c>
      <c r="G184" s="27" t="n">
        <v>41568.90903175</v>
      </c>
      <c r="H184" s="27" t="n">
        <v>3.12</v>
      </c>
      <c r="I184" s="27" t="n">
        <v>5.41</v>
      </c>
    </row>
    <row r="185" customFormat="false" ht="15" hidden="false" customHeight="false" outlineLevel="0" collapsed="false">
      <c r="A185" s="23" t="s">
        <v>313</v>
      </c>
      <c r="B185" s="27" t="n">
        <v>55207.40675129</v>
      </c>
      <c r="C185" s="27" t="n">
        <v>7729.54139481</v>
      </c>
      <c r="D185" s="27" t="n">
        <v>2.71</v>
      </c>
      <c r="E185" s="27" t="n">
        <v>4.88</v>
      </c>
      <c r="F185" s="27" t="n">
        <v>27858.83348014</v>
      </c>
      <c r="G185" s="27" t="n">
        <v>44238.79729619</v>
      </c>
      <c r="H185" s="27" t="n">
        <v>2.94</v>
      </c>
      <c r="I185" s="27" t="n">
        <v>5.24</v>
      </c>
    </row>
    <row r="186" customFormat="false" ht="15" hidden="false" customHeight="false" outlineLevel="0" collapsed="false">
      <c r="A186" s="23" t="s">
        <v>314</v>
      </c>
      <c r="B186" s="27" t="n">
        <v>56522.1138452</v>
      </c>
      <c r="C186" s="27" t="n">
        <v>7934.0375534</v>
      </c>
      <c r="D186" s="27" t="n">
        <v>2.7</v>
      </c>
      <c r="E186" s="27" t="n">
        <v>5.06</v>
      </c>
      <c r="F186" s="27" t="n">
        <v>28554.14433005</v>
      </c>
      <c r="G186" s="27" t="n">
        <v>45470.33150834</v>
      </c>
      <c r="H186" s="27" t="n">
        <v>2.92</v>
      </c>
      <c r="I186" s="27" t="n">
        <v>5.43</v>
      </c>
    </row>
    <row r="187" customFormat="false" ht="15" hidden="false" customHeight="false" outlineLevel="0" collapsed="false">
      <c r="A187" s="23" t="s">
        <v>315</v>
      </c>
      <c r="B187" s="27" t="n">
        <v>55579.92293297</v>
      </c>
      <c r="C187" s="27" t="n">
        <v>7864.89288534</v>
      </c>
      <c r="D187" s="27" t="n">
        <v>2.92</v>
      </c>
      <c r="E187" s="27" t="n">
        <v>5.18</v>
      </c>
      <c r="F187" s="27" t="n">
        <v>28052.08373493</v>
      </c>
      <c r="G187" s="27" t="n">
        <v>45056.42632531</v>
      </c>
      <c r="H187" s="27" t="n">
        <v>3.16</v>
      </c>
      <c r="I187" s="27" t="n">
        <v>5.56</v>
      </c>
    </row>
    <row r="188" customFormat="false" ht="15" hidden="false" customHeight="false" outlineLevel="0" collapsed="false">
      <c r="A188" s="23" t="s">
        <v>316</v>
      </c>
      <c r="B188" s="27" t="n">
        <v>58980.10762383</v>
      </c>
      <c r="C188" s="27" t="n">
        <v>8357.40303109</v>
      </c>
      <c r="D188" s="27" t="n">
        <v>2.77</v>
      </c>
      <c r="E188" s="27" t="n">
        <v>4.88</v>
      </c>
      <c r="F188" s="27" t="n">
        <v>29476.61313052</v>
      </c>
      <c r="G188" s="27" t="n">
        <v>47414.82759463</v>
      </c>
      <c r="H188" s="27" t="n">
        <v>3.02</v>
      </c>
      <c r="I188" s="27" t="n">
        <v>5.29</v>
      </c>
    </row>
    <row r="189" customFormat="false" ht="15" hidden="false" customHeight="false" outlineLevel="0" collapsed="false">
      <c r="A189" s="23" t="s">
        <v>317</v>
      </c>
      <c r="B189" s="27" t="n">
        <v>59772.83415075</v>
      </c>
      <c r="C189" s="27" t="n">
        <v>8479.05441192</v>
      </c>
      <c r="D189" s="27" t="n">
        <v>2.73</v>
      </c>
      <c r="E189" s="27" t="n">
        <v>4.67</v>
      </c>
      <c r="F189" s="27" t="n">
        <v>29707.39557196</v>
      </c>
      <c r="G189" s="27" t="n">
        <v>47844.21263579</v>
      </c>
      <c r="H189" s="27" t="n">
        <v>3</v>
      </c>
      <c r="I189" s="27" t="n">
        <v>5.08</v>
      </c>
    </row>
    <row r="190" customFormat="false" ht="15" hidden="false" customHeight="false" outlineLevel="0" collapsed="false">
      <c r="A190" s="23" t="s">
        <v>318</v>
      </c>
      <c r="B190" s="27" t="n">
        <v>59504.67263602</v>
      </c>
      <c r="C190" s="27" t="n">
        <v>8450.2850361</v>
      </c>
      <c r="D190" s="27" t="n">
        <v>2.78</v>
      </c>
      <c r="E190" s="27" t="n">
        <v>4.71</v>
      </c>
      <c r="F190" s="27" t="n">
        <v>29754.46947556</v>
      </c>
      <c r="G190" s="27" t="n">
        <v>47978.31722983</v>
      </c>
      <c r="H190" s="27" t="n">
        <v>3.1</v>
      </c>
      <c r="I190" s="27" t="n">
        <v>5.18</v>
      </c>
    </row>
    <row r="191" customFormat="false" ht="15" hidden="false" customHeight="false" outlineLevel="0" collapsed="false">
      <c r="A191" s="23" t="s">
        <v>319</v>
      </c>
      <c r="B191" s="27" t="n">
        <v>59506.12352104</v>
      </c>
      <c r="C191" s="27" t="n">
        <v>8458.72101818</v>
      </c>
      <c r="D191" s="27" t="n">
        <v>2.8</v>
      </c>
      <c r="E191" s="27" t="n">
        <v>4.77</v>
      </c>
      <c r="F191" s="27" t="n">
        <v>29829.96182023</v>
      </c>
      <c r="G191" s="27" t="n">
        <v>48153.08910061</v>
      </c>
      <c r="H191" s="27" t="n">
        <v>3.12</v>
      </c>
      <c r="I191" s="27" t="n">
        <v>5.24</v>
      </c>
    </row>
    <row r="192" customFormat="false" ht="15" hidden="false" customHeight="false" outlineLevel="0" collapsed="false">
      <c r="A192" s="23" t="s">
        <v>320</v>
      </c>
      <c r="B192" s="27" t="n">
        <v>58325.09283901</v>
      </c>
      <c r="C192" s="27" t="n">
        <v>8292.1378742</v>
      </c>
      <c r="D192" s="27" t="n">
        <v>2.86</v>
      </c>
      <c r="E192" s="27" t="n">
        <v>5.19</v>
      </c>
      <c r="F192" s="27" t="n">
        <v>29286.24458241</v>
      </c>
      <c r="G192" s="27" t="n">
        <v>47283.70106936</v>
      </c>
      <c r="H192" s="27" t="n">
        <v>3.18</v>
      </c>
      <c r="I192" s="27" t="n">
        <v>5.7</v>
      </c>
    </row>
    <row r="193" customFormat="false" ht="15" hidden="false" customHeight="false" outlineLevel="0" collapsed="false">
      <c r="A193" s="23" t="s">
        <v>321</v>
      </c>
      <c r="B193" s="27" t="n">
        <v>55474.52347125</v>
      </c>
      <c r="C193" s="27" t="n">
        <v>7945.83150987</v>
      </c>
      <c r="D193" s="27" t="n">
        <v>3.11</v>
      </c>
      <c r="E193" s="27" t="n">
        <v>5.43</v>
      </c>
      <c r="F193" s="27" t="n">
        <v>28075.32790614</v>
      </c>
      <c r="G193" s="27" t="n">
        <v>45709.95119578</v>
      </c>
      <c r="H193" s="27" t="n">
        <v>3.42</v>
      </c>
      <c r="I193" s="27" t="n">
        <v>5.89</v>
      </c>
    </row>
    <row r="194" customFormat="false" ht="15" hidden="false" customHeight="false" outlineLevel="0" collapsed="false">
      <c r="A194" s="23" t="s">
        <v>322</v>
      </c>
      <c r="B194" s="27" t="n">
        <v>58236.12969202</v>
      </c>
      <c r="C194" s="27" t="n">
        <v>8372.33591902</v>
      </c>
      <c r="D194" s="27" t="n">
        <v>2.99</v>
      </c>
      <c r="E194" s="27" t="n">
        <v>5.19</v>
      </c>
      <c r="F194" s="27" t="n">
        <v>29448.40646099</v>
      </c>
      <c r="G194" s="27" t="n">
        <v>48142.85515239</v>
      </c>
      <c r="H194" s="27" t="n">
        <v>3.3</v>
      </c>
      <c r="I194" s="27" t="n">
        <v>5.63</v>
      </c>
    </row>
    <row r="195" customFormat="false" ht="15" hidden="false" customHeight="false" outlineLevel="0" collapsed="false">
      <c r="A195" s="23" t="s">
        <v>323</v>
      </c>
      <c r="B195" s="27" t="n">
        <v>56157.88748166</v>
      </c>
      <c r="C195" s="27" t="n">
        <v>8081.29161684</v>
      </c>
      <c r="D195" s="27" t="n">
        <v>3.12</v>
      </c>
      <c r="E195" s="27" t="n">
        <v>5.19</v>
      </c>
      <c r="F195" s="27" t="n">
        <v>28318.74373169</v>
      </c>
      <c r="G195" s="27" t="n">
        <v>46345.33530591</v>
      </c>
      <c r="H195" s="27" t="n">
        <v>3.44</v>
      </c>
      <c r="I195" s="27" t="n">
        <v>5.64</v>
      </c>
    </row>
    <row r="196" customFormat="false" ht="15" hidden="false" customHeight="false" outlineLevel="0" collapsed="false">
      <c r="A196" s="23" t="s">
        <v>324</v>
      </c>
      <c r="B196" s="27" t="n">
        <v>57610.98237056</v>
      </c>
      <c r="C196" s="27" t="n">
        <v>8306.34354117</v>
      </c>
      <c r="D196" s="27" t="n">
        <v>2.96</v>
      </c>
      <c r="E196" s="27" t="n">
        <v>5.07</v>
      </c>
      <c r="F196" s="27" t="n">
        <v>28667.22280769</v>
      </c>
      <c r="G196" s="27" t="n">
        <v>47016.06635177</v>
      </c>
      <c r="H196" s="27" t="n">
        <v>3.29</v>
      </c>
      <c r="I196" s="27" t="n">
        <v>5.49</v>
      </c>
    </row>
    <row r="197" customFormat="false" ht="15" hidden="false" customHeight="false" outlineLevel="0" collapsed="false">
      <c r="A197" s="23" t="s">
        <v>325</v>
      </c>
      <c r="B197" s="27" t="n">
        <v>57432.46125521</v>
      </c>
      <c r="C197" s="27" t="n">
        <v>8285.70909417</v>
      </c>
      <c r="D197" s="27" t="n">
        <v>2.97</v>
      </c>
      <c r="E197" s="27" t="n">
        <v>5.08</v>
      </c>
      <c r="F197" s="27" t="n">
        <v>28805.46675063</v>
      </c>
      <c r="G197" s="27" t="n">
        <v>47275.34390308</v>
      </c>
      <c r="H197" s="27" t="n">
        <v>3.28</v>
      </c>
      <c r="I197" s="27" t="n">
        <v>5.46</v>
      </c>
    </row>
    <row r="198" customFormat="false" ht="15" hidden="false" customHeight="false" outlineLevel="0" collapsed="false">
      <c r="A198" s="23" t="s">
        <v>326</v>
      </c>
      <c r="B198" s="27" t="n">
        <v>58668.47789004</v>
      </c>
      <c r="C198" s="27" t="n">
        <v>8479.67666876</v>
      </c>
      <c r="D198" s="27" t="n">
        <v>2.9</v>
      </c>
      <c r="E198" s="27" t="n">
        <v>4.85</v>
      </c>
      <c r="F198" s="27" t="n">
        <v>29470.42454841</v>
      </c>
      <c r="G198" s="27" t="n">
        <v>48466.30211418</v>
      </c>
      <c r="H198" s="27" t="n">
        <v>3.2</v>
      </c>
      <c r="I198" s="27" t="n">
        <v>5.2</v>
      </c>
    </row>
    <row r="199" customFormat="false" ht="15" hidden="false" customHeight="false" outlineLevel="0" collapsed="false">
      <c r="A199" s="23" t="s">
        <v>327</v>
      </c>
      <c r="B199" s="27" t="n">
        <v>55708.47030923</v>
      </c>
      <c r="C199" s="27" t="n">
        <v>8125.87375002</v>
      </c>
      <c r="D199" s="27" t="n">
        <v>3.22</v>
      </c>
      <c r="E199" s="27" t="n">
        <v>5.35</v>
      </c>
      <c r="F199" s="27" t="n">
        <v>28029.54370746</v>
      </c>
      <c r="G199" s="27" t="n">
        <v>46556.01896279</v>
      </c>
      <c r="H199" s="27" t="n">
        <v>3.54</v>
      </c>
      <c r="I199" s="27" t="n">
        <v>5.72</v>
      </c>
    </row>
    <row r="200" customFormat="false" ht="15" hidden="false" customHeight="false" outlineLevel="0" collapsed="false">
      <c r="A200" s="23" t="s">
        <v>328</v>
      </c>
      <c r="B200" s="27" t="n">
        <v>52388.87056645</v>
      </c>
      <c r="C200" s="27" t="n">
        <v>7657.53332193</v>
      </c>
      <c r="D200" s="27" t="n">
        <v>3.52</v>
      </c>
      <c r="E200" s="27" t="n">
        <v>5.68</v>
      </c>
      <c r="F200" s="27" t="n">
        <v>26625.02797212</v>
      </c>
      <c r="G200" s="27" t="n">
        <v>44324.39451073</v>
      </c>
      <c r="H200" s="27" t="n">
        <v>3.82</v>
      </c>
      <c r="I200" s="27" t="n">
        <v>6.02</v>
      </c>
    </row>
    <row r="201" customFormat="false" ht="15" hidden="false" customHeight="false" outlineLevel="0" collapsed="false">
      <c r="A201" s="23" t="s">
        <v>329</v>
      </c>
      <c r="B201" s="27" t="n">
        <v>50663.93509073</v>
      </c>
      <c r="C201" s="27" t="n">
        <v>7414.42751154</v>
      </c>
      <c r="D201" s="27" t="n">
        <v>3.64</v>
      </c>
      <c r="E201" s="27" t="n">
        <v>5.99</v>
      </c>
      <c r="F201" s="27" t="n">
        <v>25503.16853894</v>
      </c>
      <c r="G201" s="27" t="n">
        <v>42513.74185611</v>
      </c>
      <c r="H201" s="27" t="n">
        <v>3.99</v>
      </c>
      <c r="I201" s="27" t="n">
        <v>6.41</v>
      </c>
    </row>
    <row r="202" customFormat="false" ht="15" hidden="false" customHeight="false" outlineLevel="0" collapsed="false">
      <c r="A202" s="23" t="s">
        <v>330</v>
      </c>
      <c r="B202" s="27" t="n">
        <v>52736.8558509</v>
      </c>
      <c r="C202" s="27" t="n">
        <v>7729.61335634</v>
      </c>
      <c r="D202" s="27" t="n">
        <v>3.52</v>
      </c>
      <c r="E202" s="27" t="n">
        <v>6.08</v>
      </c>
      <c r="F202" s="27" t="n">
        <v>26528.06533923</v>
      </c>
      <c r="G202" s="27" t="n">
        <v>44297.16489734</v>
      </c>
      <c r="H202" s="27" t="n">
        <v>3.84</v>
      </c>
      <c r="I202" s="27" t="n">
        <v>6.3</v>
      </c>
    </row>
    <row r="203" customFormat="false" ht="15" hidden="false" customHeight="false" outlineLevel="0" collapsed="false">
      <c r="A203" s="23" t="s">
        <v>331</v>
      </c>
      <c r="B203" s="27" t="n">
        <v>54156.74900026</v>
      </c>
      <c r="C203" s="27" t="n">
        <v>7946.47599881</v>
      </c>
      <c r="D203" s="27" t="n">
        <v>3.45</v>
      </c>
      <c r="E203" s="27" t="n">
        <v>5.93</v>
      </c>
      <c r="F203" s="27" t="n">
        <v>27178.57870317</v>
      </c>
      <c r="G203" s="27" t="n">
        <v>45438.5241451</v>
      </c>
      <c r="H203" s="27" t="n">
        <v>3.78</v>
      </c>
      <c r="I203" s="27" t="n">
        <v>6.16</v>
      </c>
    </row>
    <row r="204" customFormat="false" ht="15" hidden="false" customHeight="false" outlineLevel="0" collapsed="false">
      <c r="A204" s="23" t="s">
        <v>332</v>
      </c>
      <c r="B204" s="27" t="n">
        <v>56002.08207322</v>
      </c>
      <c r="C204" s="27" t="n">
        <v>8217.56988832</v>
      </c>
      <c r="D204" s="27" t="n">
        <v>3.34</v>
      </c>
      <c r="E204" s="27" t="n">
        <v>5.77</v>
      </c>
      <c r="F204" s="27" t="n">
        <v>28096.82025047</v>
      </c>
      <c r="G204" s="27" t="n">
        <v>46975.74311397</v>
      </c>
      <c r="H204" s="27" t="n">
        <v>3.66</v>
      </c>
      <c r="I204" s="27" t="n">
        <v>6.01</v>
      </c>
    </row>
    <row r="205" customFormat="false" ht="15" hidden="false" customHeight="false" outlineLevel="0" collapsed="false">
      <c r="A205" s="23" t="s">
        <v>333</v>
      </c>
      <c r="B205" s="27" t="n">
        <v>56462.5490609</v>
      </c>
      <c r="C205" s="27" t="n">
        <v>8346.01129745</v>
      </c>
      <c r="D205" s="27" t="n">
        <v>3.33</v>
      </c>
      <c r="E205" s="27" t="n">
        <v>5.78</v>
      </c>
      <c r="F205" s="27" t="n">
        <v>28061.2816214</v>
      </c>
      <c r="G205" s="27" t="n">
        <v>47297.840345</v>
      </c>
      <c r="H205" s="27" t="n">
        <v>3.67</v>
      </c>
      <c r="I205" s="27" t="n">
        <v>6.06</v>
      </c>
    </row>
    <row r="206" customFormat="false" ht="15" hidden="false" customHeight="false" outlineLevel="0" collapsed="false">
      <c r="A206" s="23" t="s">
        <v>334</v>
      </c>
      <c r="B206" s="27" t="n">
        <v>58528.39536376</v>
      </c>
      <c r="C206" s="27" t="n">
        <v>8698.63063741</v>
      </c>
      <c r="D206" s="27" t="n">
        <v>3.27</v>
      </c>
      <c r="E206" s="27" t="n">
        <v>5.52</v>
      </c>
      <c r="F206" s="27" t="n">
        <v>28907.96801557</v>
      </c>
      <c r="G206" s="27" t="n">
        <v>49022.73089684</v>
      </c>
      <c r="H206" s="27" t="n">
        <v>3.63</v>
      </c>
      <c r="I206" s="27" t="n">
        <v>5.82</v>
      </c>
    </row>
    <row r="207" customFormat="false" ht="15" hidden="false" customHeight="false" outlineLevel="0" collapsed="false">
      <c r="A207" s="23" t="s">
        <v>335</v>
      </c>
      <c r="B207" s="27" t="n">
        <v>55650.41307383</v>
      </c>
      <c r="C207" s="27" t="n">
        <v>8277.4196258</v>
      </c>
      <c r="D207" s="27" t="n">
        <v>3.45</v>
      </c>
      <c r="E207" s="27" t="n">
        <v>5.77</v>
      </c>
      <c r="F207" s="27" t="n">
        <v>27670.989249</v>
      </c>
      <c r="G207" s="27" t="n">
        <v>46966.30046276</v>
      </c>
      <c r="H207" s="27" t="n">
        <v>3.8</v>
      </c>
      <c r="I207" s="27" t="n">
        <v>6.05</v>
      </c>
    </row>
    <row r="208" customFormat="false" ht="15" hidden="false" customHeight="false" outlineLevel="0" collapsed="false">
      <c r="A208" s="23" t="s">
        <v>336</v>
      </c>
      <c r="B208" s="27" t="n">
        <v>58203.83781801</v>
      </c>
      <c r="C208" s="27" t="n">
        <v>8673.19792096</v>
      </c>
      <c r="D208" s="27" t="n">
        <v>3.25</v>
      </c>
      <c r="E208" s="27" t="n">
        <v>5.51</v>
      </c>
      <c r="F208" s="27" t="n">
        <v>28932.86339099</v>
      </c>
      <c r="G208" s="27" t="n">
        <v>49209.71664707</v>
      </c>
      <c r="H208" s="27" t="n">
        <v>3.6</v>
      </c>
      <c r="I208" s="27" t="n">
        <v>5.75</v>
      </c>
    </row>
    <row r="209" customFormat="false" ht="15" hidden="false" customHeight="false" outlineLevel="0" collapsed="false">
      <c r="A209" s="23" t="s">
        <v>337</v>
      </c>
      <c r="B209" s="27" t="n">
        <v>56784.61428866</v>
      </c>
      <c r="C209" s="27" t="n">
        <v>8467.41976313</v>
      </c>
      <c r="D209" s="27" t="n">
        <v>3.34</v>
      </c>
      <c r="E209" s="27" t="n">
        <v>5.76</v>
      </c>
      <c r="F209" s="27" t="n">
        <v>28061.78818128</v>
      </c>
      <c r="G209" s="27" t="n">
        <v>47764.71023024</v>
      </c>
      <c r="H209" s="27" t="n">
        <v>3.72</v>
      </c>
      <c r="I209" s="27" t="n">
        <v>6.07</v>
      </c>
    </row>
    <row r="210" customFormat="false" ht="15" hidden="false" customHeight="false" outlineLevel="0" collapsed="false">
      <c r="A210" s="23" t="s">
        <v>338</v>
      </c>
      <c r="B210" s="27" t="n">
        <v>55259.56677041</v>
      </c>
      <c r="C210" s="27" t="n">
        <v>8261.20470167</v>
      </c>
      <c r="D210" s="27" t="n">
        <v>3.49</v>
      </c>
      <c r="E210" s="27" t="n">
        <v>6.13</v>
      </c>
      <c r="F210" s="27" t="n">
        <v>27273.87222504</v>
      </c>
      <c r="G210" s="27" t="n">
        <v>46560.00182418</v>
      </c>
      <c r="H210" s="27" t="n">
        <v>3.9</v>
      </c>
      <c r="I210" s="27" t="n">
        <v>6.47</v>
      </c>
    </row>
    <row r="211" customFormat="false" ht="15" hidden="false" customHeight="false" outlineLevel="0" collapsed="false">
      <c r="A211" s="23" t="s">
        <v>339</v>
      </c>
      <c r="B211" s="27" t="n">
        <v>54824.96512533</v>
      </c>
      <c r="C211" s="27" t="n">
        <v>8277.02231008</v>
      </c>
      <c r="D211" s="27" t="n">
        <v>3.76</v>
      </c>
      <c r="E211" s="27" t="n">
        <v>6.35</v>
      </c>
      <c r="F211" s="27" t="n">
        <v>27062.06984217</v>
      </c>
      <c r="G211" s="27" t="n">
        <v>46680.32591285</v>
      </c>
      <c r="H211" s="27" t="n">
        <v>3.95</v>
      </c>
      <c r="I211" s="27" t="n">
        <v>6.49</v>
      </c>
    </row>
    <row r="212" customFormat="false" ht="15" hidden="false" customHeight="false" outlineLevel="0" collapsed="false">
      <c r="A212" s="23" t="s">
        <v>340</v>
      </c>
      <c r="B212" s="27" t="n">
        <v>56425.10737634</v>
      </c>
      <c r="C212" s="27" t="n">
        <v>8537.21543908</v>
      </c>
      <c r="D212" s="27" t="n">
        <v>3.67</v>
      </c>
      <c r="E212" s="27" t="n">
        <v>6.15</v>
      </c>
      <c r="F212" s="27" t="n">
        <v>27998.93003456</v>
      </c>
      <c r="G212" s="27" t="n">
        <v>48408.04393758</v>
      </c>
      <c r="H212" s="27" t="n">
        <v>3.84</v>
      </c>
      <c r="I212" s="27" t="n">
        <v>6.26</v>
      </c>
    </row>
    <row r="213" customFormat="false" ht="15" hidden="false" customHeight="false" outlineLevel="0" collapsed="false">
      <c r="A213" s="23" t="s">
        <v>341</v>
      </c>
      <c r="B213" s="27" t="n">
        <v>55349.01344543</v>
      </c>
      <c r="C213" s="27" t="n">
        <v>8383.88681376</v>
      </c>
      <c r="D213" s="27" t="n">
        <v>3.74</v>
      </c>
      <c r="E213" s="27" t="n">
        <v>6.31</v>
      </c>
      <c r="F213" s="27" t="n">
        <v>27469.46643816</v>
      </c>
      <c r="G213" s="27" t="n">
        <v>47549.37699277</v>
      </c>
      <c r="H213" s="27" t="n">
        <v>3.9</v>
      </c>
      <c r="I213" s="27" t="n">
        <v>6.44</v>
      </c>
    </row>
    <row r="214" customFormat="false" ht="15" hidden="false" customHeight="false" outlineLevel="0" collapsed="false">
      <c r="A214" s="23" t="s">
        <v>342</v>
      </c>
      <c r="B214" s="27" t="n">
        <v>57084.10313271</v>
      </c>
      <c r="C214" s="27" t="n">
        <v>8660.66043193</v>
      </c>
      <c r="D214" s="27" t="n">
        <v>3.62</v>
      </c>
      <c r="E214" s="27" t="n">
        <v>6.13</v>
      </c>
      <c r="F214" s="27" t="n">
        <v>28235.36560634</v>
      </c>
      <c r="G214" s="27" t="n">
        <v>48957.84720365</v>
      </c>
      <c r="H214" s="27" t="n">
        <v>3.73</v>
      </c>
      <c r="I214" s="27" t="n">
        <v>6.23</v>
      </c>
    </row>
    <row r="215" customFormat="false" ht="15" hidden="false" customHeight="false" outlineLevel="0" collapsed="false">
      <c r="A215" s="23" t="s">
        <v>343</v>
      </c>
      <c r="B215" s="27" t="n">
        <v>56079.53537723</v>
      </c>
      <c r="C215" s="27" t="n">
        <v>8513.94207061</v>
      </c>
      <c r="D215" s="27" t="n">
        <v>3.67</v>
      </c>
      <c r="E215" s="27" t="n">
        <v>6.17</v>
      </c>
      <c r="F215" s="27" t="n">
        <v>27643.47676243</v>
      </c>
      <c r="G215" s="27" t="n">
        <v>47964.95102647</v>
      </c>
      <c r="H215" s="27" t="n">
        <v>3.8</v>
      </c>
      <c r="I215" s="27" t="n">
        <v>6.29</v>
      </c>
    </row>
    <row r="216" customFormat="false" ht="15" hidden="false" customHeight="false" outlineLevel="0" collapsed="false">
      <c r="A216" s="23" t="s">
        <v>344</v>
      </c>
      <c r="B216" s="27" t="n">
        <v>51038.17534577</v>
      </c>
      <c r="C216" s="27" t="n">
        <v>7748.70078248</v>
      </c>
      <c r="D216" s="27" t="n">
        <v>4.04</v>
      </c>
      <c r="E216" s="27" t="n">
        <v>6.84</v>
      </c>
      <c r="F216" s="27" t="n">
        <v>25098.73587755</v>
      </c>
      <c r="G216" s="27" t="n">
        <v>43550.28474133</v>
      </c>
      <c r="H216" s="27" t="n">
        <v>4.19</v>
      </c>
      <c r="I216" s="27" t="n">
        <v>7</v>
      </c>
    </row>
    <row r="217" customFormat="false" ht="15" hidden="false" customHeight="false" outlineLevel="0" collapsed="false">
      <c r="A217" s="23" t="s">
        <v>345</v>
      </c>
      <c r="B217" s="27" t="n">
        <v>44490.31171396</v>
      </c>
      <c r="C217" s="27" t="n">
        <v>6808.88791306</v>
      </c>
      <c r="D217" s="27" t="n">
        <v>4.8</v>
      </c>
      <c r="E217" s="27" t="n">
        <v>7.95</v>
      </c>
      <c r="F217" s="27" t="n">
        <v>21585.1931798</v>
      </c>
      <c r="G217" s="27" t="n">
        <v>37767.94545901</v>
      </c>
      <c r="H217" s="27" t="n">
        <v>5.27</v>
      </c>
      <c r="I217" s="27" t="n">
        <v>8.48</v>
      </c>
    </row>
    <row r="218" customFormat="false" ht="15" hidden="false" customHeight="false" outlineLevel="0" collapsed="false">
      <c r="A218" s="23" t="s">
        <v>346</v>
      </c>
      <c r="B218" s="27" t="n">
        <v>50336.72004999</v>
      </c>
      <c r="C218" s="27" t="n">
        <v>7760.72508007</v>
      </c>
      <c r="D218" s="27" t="n">
        <v>4.19</v>
      </c>
      <c r="E218" s="27" t="n">
        <v>7.04</v>
      </c>
      <c r="F218" s="27" t="n">
        <v>24413.23275381</v>
      </c>
      <c r="G218" s="27" t="n">
        <v>43065.55728473</v>
      </c>
      <c r="H218" s="27" t="n">
        <v>4.61</v>
      </c>
      <c r="I218" s="27" t="n">
        <v>7.51</v>
      </c>
    </row>
    <row r="219" customFormat="false" ht="15" hidden="false" customHeight="false" outlineLevel="0" collapsed="false">
      <c r="A219" s="23" t="s">
        <v>347</v>
      </c>
      <c r="B219" s="27" t="n">
        <v>50483.00369964</v>
      </c>
      <c r="C219" s="27" t="n">
        <v>7784.44741764</v>
      </c>
      <c r="D219" s="27" t="n">
        <v>4.17</v>
      </c>
      <c r="E219" s="27" t="n">
        <v>6.86</v>
      </c>
      <c r="F219" s="27" t="n">
        <v>24589.81475192</v>
      </c>
      <c r="G219" s="27" t="n">
        <v>43384.28065681</v>
      </c>
      <c r="H219" s="27" t="n">
        <v>4.56</v>
      </c>
      <c r="I219" s="27" t="n">
        <v>7.28</v>
      </c>
    </row>
    <row r="220" customFormat="false" ht="15" hidden="false" customHeight="false" outlineLevel="0" collapsed="false">
      <c r="A220" s="23" t="s">
        <v>348</v>
      </c>
      <c r="B220" s="27" t="n">
        <v>54362.36280943</v>
      </c>
      <c r="C220" s="27" t="n">
        <v>8387.09272112</v>
      </c>
      <c r="D220" s="27" t="n">
        <v>3.9</v>
      </c>
      <c r="E220" s="27" t="n">
        <v>5.78</v>
      </c>
      <c r="F220" s="27" t="n">
        <v>26301.86892662</v>
      </c>
      <c r="G220" s="27" t="n">
        <v>46432.90614446</v>
      </c>
      <c r="H220" s="27" t="n">
        <v>4.29</v>
      </c>
      <c r="I220" s="27" t="n">
        <v>6.26</v>
      </c>
    </row>
    <row r="221" customFormat="false" ht="15" hidden="false" customHeight="false" outlineLevel="0" collapsed="false">
      <c r="A221" s="23" t="s">
        <v>349</v>
      </c>
      <c r="B221" s="27" t="n">
        <v>55721.80490361</v>
      </c>
      <c r="C221" s="27" t="n">
        <v>8601.48942294</v>
      </c>
      <c r="D221" s="27" t="n">
        <v>3.84</v>
      </c>
      <c r="E221" s="27" t="n">
        <v>5.47</v>
      </c>
      <c r="F221" s="27" t="n">
        <v>27045.88235335</v>
      </c>
      <c r="G221" s="27" t="n">
        <v>47776.29516782</v>
      </c>
      <c r="H221" s="27" t="n">
        <v>4.21</v>
      </c>
      <c r="I221" s="27" t="n">
        <v>5.89</v>
      </c>
    </row>
    <row r="222" customFormat="false" ht="15" hidden="false" customHeight="false" outlineLevel="0" collapsed="false">
      <c r="A222" s="23" t="s">
        <v>350</v>
      </c>
      <c r="B222" s="27" t="n">
        <v>55476.11345764</v>
      </c>
      <c r="C222" s="27" t="n">
        <v>8579.3440121</v>
      </c>
      <c r="D222" s="27" t="n">
        <v>3.65</v>
      </c>
      <c r="E222" s="27" t="n">
        <v>5.1</v>
      </c>
      <c r="F222" s="27" t="n">
        <v>26941.23005816</v>
      </c>
      <c r="G222" s="27" t="n">
        <v>47692.11469519</v>
      </c>
      <c r="H222" s="27" t="n">
        <v>3.98</v>
      </c>
      <c r="I222" s="27" t="n">
        <v>5.45</v>
      </c>
    </row>
    <row r="223" customFormat="false" ht="15" hidden="false" customHeight="false" outlineLevel="0" collapsed="false">
      <c r="A223" s="23" t="s">
        <v>351</v>
      </c>
      <c r="B223" s="27" t="n">
        <v>54264.95701958</v>
      </c>
      <c r="C223" s="27" t="n">
        <v>8443.37836801</v>
      </c>
      <c r="D223" s="27" t="n">
        <v>3.64</v>
      </c>
      <c r="E223" s="27" t="n">
        <v>4.99</v>
      </c>
      <c r="F223" s="27" t="n">
        <v>26454.63211631</v>
      </c>
      <c r="G223" s="27" t="n">
        <v>47122.13333835</v>
      </c>
      <c r="H223" s="27" t="n">
        <v>3.97</v>
      </c>
      <c r="I223" s="27" t="n">
        <v>5.28</v>
      </c>
    </row>
    <row r="224" customFormat="false" ht="15" hidden="false" customHeight="false" outlineLevel="0" collapsed="false">
      <c r="A224" s="23" t="s">
        <v>352</v>
      </c>
      <c r="B224" s="27" t="n">
        <v>51684.70353294</v>
      </c>
      <c r="C224" s="27" t="n">
        <v>8044.3879763</v>
      </c>
      <c r="D224" s="27" t="n">
        <v>3.79</v>
      </c>
      <c r="E224" s="27" t="n">
        <v>5.19</v>
      </c>
      <c r="F224" s="27" t="n">
        <v>24928.03071315</v>
      </c>
      <c r="G224" s="27" t="n">
        <v>44418.57206984</v>
      </c>
      <c r="H224" s="27" t="n">
        <v>4.17</v>
      </c>
      <c r="I224" s="27" t="n">
        <v>5.54</v>
      </c>
    </row>
    <row r="225" customFormat="false" ht="15" hidden="false" customHeight="false" outlineLevel="0" collapsed="false">
      <c r="A225" s="23" t="s">
        <v>353</v>
      </c>
      <c r="B225" s="27" t="n">
        <v>57091.88529311</v>
      </c>
      <c r="C225" s="27" t="n">
        <v>8890.1462496</v>
      </c>
      <c r="D225" s="27" t="n">
        <v>3.34</v>
      </c>
      <c r="E225" s="27" t="n">
        <v>4.54</v>
      </c>
      <c r="F225" s="27" t="n">
        <v>27862.91387133</v>
      </c>
      <c r="G225" s="27" t="n">
        <v>49664.68795718</v>
      </c>
      <c r="H225" s="27" t="n">
        <v>3.63</v>
      </c>
      <c r="I225" s="27" t="n">
        <v>4.72</v>
      </c>
    </row>
    <row r="226" customFormat="false" ht="15" hidden="false" customHeight="false" outlineLevel="0" collapsed="false">
      <c r="A226" s="23" t="s">
        <v>354</v>
      </c>
      <c r="B226" s="27" t="n">
        <v>59408.67665535</v>
      </c>
      <c r="C226" s="27" t="n">
        <v>9266.77640104</v>
      </c>
      <c r="D226" s="27" t="n">
        <v>3.08</v>
      </c>
      <c r="E226" s="27" t="n">
        <v>4.34</v>
      </c>
      <c r="F226" s="27" t="n">
        <v>29183.33556599</v>
      </c>
      <c r="G226" s="27" t="n">
        <v>52119.72665016</v>
      </c>
      <c r="H226" s="27" t="n">
        <v>3.32</v>
      </c>
      <c r="I226" s="27" t="n">
        <v>4.48</v>
      </c>
    </row>
    <row r="227" customFormat="false" ht="15" hidden="false" customHeight="false" outlineLevel="0" collapsed="false">
      <c r="A227" s="23" t="s">
        <v>355</v>
      </c>
      <c r="B227" s="27" t="n">
        <v>62472.10426618</v>
      </c>
      <c r="C227" s="27" t="n">
        <v>9749.1942258</v>
      </c>
      <c r="D227" s="27" t="n">
        <v>2.86</v>
      </c>
      <c r="E227" s="27" t="n">
        <v>4.12</v>
      </c>
      <c r="F227" s="27" t="n">
        <v>30369.70319493</v>
      </c>
      <c r="G227" s="27" t="n">
        <v>54267.54973376</v>
      </c>
      <c r="H227" s="27" t="n">
        <v>3.11</v>
      </c>
      <c r="I227" s="27" t="n">
        <v>4.3</v>
      </c>
    </row>
    <row r="228" customFormat="false" ht="15" hidden="false" customHeight="false" outlineLevel="0" collapsed="false">
      <c r="A228" s="23" t="s">
        <v>356</v>
      </c>
      <c r="B228" s="27" t="n">
        <v>66138.0476585</v>
      </c>
      <c r="C228" s="27" t="n">
        <v>10321.44330421</v>
      </c>
      <c r="D228" s="27" t="n">
        <v>2.64</v>
      </c>
      <c r="E228" s="27" t="n">
        <v>4.37</v>
      </c>
      <c r="F228" s="27" t="n">
        <v>32237.97366486</v>
      </c>
      <c r="G228" s="27" t="n">
        <v>57606.94089684</v>
      </c>
      <c r="H228" s="27" t="n">
        <v>2.87</v>
      </c>
      <c r="I228" s="27" t="n">
        <v>4.58</v>
      </c>
    </row>
    <row r="229" customFormat="false" ht="15" hidden="false" customHeight="false" outlineLevel="0" collapsed="false">
      <c r="A229" s="23" t="s">
        <v>357</v>
      </c>
      <c r="B229" s="27" t="n">
        <v>66485.29241697</v>
      </c>
      <c r="C229" s="27" t="n">
        <v>10484.62379196</v>
      </c>
      <c r="D229" s="27" t="n">
        <v>2.91</v>
      </c>
      <c r="E229" s="27" t="n">
        <v>4.13</v>
      </c>
      <c r="F229" s="27" t="n">
        <v>32531.17182718</v>
      </c>
      <c r="G229" s="27" t="n">
        <v>58768.92245262</v>
      </c>
      <c r="H229" s="27" t="n">
        <v>3.11</v>
      </c>
      <c r="I229" s="27" t="n">
        <v>4.26</v>
      </c>
    </row>
    <row r="230" customFormat="false" ht="15" hidden="false" customHeight="false" outlineLevel="0" collapsed="false">
      <c r="A230" s="23" t="s">
        <v>358</v>
      </c>
      <c r="B230" s="27" t="n">
        <v>66936.99925469</v>
      </c>
      <c r="C230" s="27" t="n">
        <v>10585.88070469</v>
      </c>
      <c r="D230" s="27" t="n">
        <v>2.76</v>
      </c>
      <c r="E230" s="27" t="n">
        <v>4.14</v>
      </c>
      <c r="F230" s="27" t="n">
        <v>32949.54602148</v>
      </c>
      <c r="G230" s="27" t="n">
        <v>59716.60715978</v>
      </c>
      <c r="H230" s="27" t="n">
        <v>2.93</v>
      </c>
      <c r="I230" s="27" t="n">
        <v>4.25</v>
      </c>
    </row>
    <row r="231" customFormat="false" ht="15" hidden="false" customHeight="false" outlineLevel="0" collapsed="false">
      <c r="A231" s="23" t="s">
        <v>359</v>
      </c>
      <c r="B231" s="27" t="n">
        <v>67964.03752732</v>
      </c>
      <c r="C231" s="27" t="n">
        <v>10751.35071737</v>
      </c>
      <c r="D231" s="27" t="n">
        <v>2.65</v>
      </c>
      <c r="E231" s="27" t="n">
        <v>4.53</v>
      </c>
      <c r="F231" s="27" t="n">
        <v>33799.54509767</v>
      </c>
      <c r="G231" s="27" t="n">
        <v>61276.64819666</v>
      </c>
      <c r="H231" s="27" t="n">
        <v>2.78</v>
      </c>
      <c r="I231" s="27" t="n">
        <v>4.64</v>
      </c>
    </row>
    <row r="232" customFormat="false" ht="15" hidden="false" customHeight="false" outlineLevel="0" collapsed="false">
      <c r="A232" s="23" t="s">
        <v>360</v>
      </c>
      <c r="B232" s="27" t="n">
        <v>66248.73642489</v>
      </c>
      <c r="C232" s="27" t="n">
        <v>10489.73746662</v>
      </c>
      <c r="D232" s="27" t="n">
        <v>2.49</v>
      </c>
      <c r="E232" s="27" t="n">
        <v>5.31</v>
      </c>
      <c r="F232" s="27" t="n">
        <v>32907.26364847</v>
      </c>
      <c r="G232" s="27" t="n">
        <v>59720.0418705</v>
      </c>
      <c r="H232" s="27" t="n">
        <v>2.61</v>
      </c>
      <c r="I232" s="27" t="n">
        <v>5.35</v>
      </c>
    </row>
    <row r="233" customFormat="false" ht="15" hidden="false" customHeight="false" outlineLevel="0" collapsed="false">
      <c r="A233" s="23" t="s">
        <v>361</v>
      </c>
      <c r="B233" s="27" t="n">
        <v>68970.78193841</v>
      </c>
      <c r="C233" s="27" t="n">
        <v>10928.71486171</v>
      </c>
      <c r="D233" s="27" t="n">
        <v>2.42</v>
      </c>
      <c r="E233" s="27" t="n">
        <v>6.02</v>
      </c>
      <c r="F233" s="27" t="n">
        <v>34395.91296898</v>
      </c>
      <c r="G233" s="27" t="n">
        <v>62471.46491548</v>
      </c>
      <c r="H233" s="27" t="n">
        <v>2.52</v>
      </c>
      <c r="I233" s="27" t="n">
        <v>6.13</v>
      </c>
    </row>
    <row r="234" customFormat="false" ht="15" hidden="false" customHeight="false" outlineLevel="0" collapsed="false">
      <c r="A234" s="23" t="s">
        <v>362</v>
      </c>
      <c r="B234" s="27" t="n">
        <v>67427.93060068</v>
      </c>
      <c r="C234" s="27" t="n">
        <v>10738.31010212</v>
      </c>
      <c r="D234" s="27" t="n">
        <v>2.8</v>
      </c>
      <c r="E234" s="27" t="n">
        <v>7.57</v>
      </c>
      <c r="F234" s="27" t="n">
        <v>33915.95208779</v>
      </c>
      <c r="G234" s="27" t="n">
        <v>61938.52675235</v>
      </c>
      <c r="H234" s="27" t="n">
        <v>2.94</v>
      </c>
      <c r="I234" s="27" t="n">
        <v>7.74</v>
      </c>
    </row>
    <row r="235" customFormat="false" ht="15" hidden="false" customHeight="false" outlineLevel="0" collapsed="false">
      <c r="A235" s="23" t="s">
        <v>363</v>
      </c>
      <c r="B235" s="27" t="n">
        <v>64281.77155119</v>
      </c>
      <c r="C235" s="27" t="n">
        <v>10401.57411304</v>
      </c>
      <c r="D235" s="27" t="n">
        <v>4.12</v>
      </c>
      <c r="E235" s="27" t="n">
        <v>8.75</v>
      </c>
      <c r="F235" s="27" t="n">
        <v>32353.06330362</v>
      </c>
      <c r="G235" s="27" t="n">
        <v>60018.07113868</v>
      </c>
      <c r="H235" s="27" t="n">
        <v>4.06</v>
      </c>
      <c r="I235" s="27" t="n">
        <v>8.79</v>
      </c>
    </row>
    <row r="236" customFormat="false" ht="15" hidden="false" customHeight="false" outlineLevel="0" collapsed="false">
      <c r="A236" s="23" t="s">
        <v>364</v>
      </c>
      <c r="B236" s="27" t="n">
        <v>67464.68853063</v>
      </c>
      <c r="C236" s="27" t="n">
        <v>10937.4682384</v>
      </c>
      <c r="D236" s="27" t="n">
        <v>4.06</v>
      </c>
      <c r="E236" s="27" t="n">
        <v>8.4</v>
      </c>
      <c r="F236" s="27" t="n">
        <v>33886.67677526</v>
      </c>
      <c r="G236" s="27" t="n">
        <v>62986.43021172</v>
      </c>
      <c r="H236" s="27" t="n">
        <v>4.01</v>
      </c>
      <c r="I236" s="27" t="n">
        <v>8.45</v>
      </c>
    </row>
    <row r="237" customFormat="false" ht="15" hidden="false" customHeight="false" outlineLevel="0" collapsed="false">
      <c r="A237" s="23" t="s">
        <v>365</v>
      </c>
      <c r="B237" s="27" t="n">
        <v>70475.01732944</v>
      </c>
      <c r="C237" s="27" t="n">
        <v>11426.32084407</v>
      </c>
      <c r="D237" s="27" t="n">
        <v>3.89</v>
      </c>
      <c r="E237" s="27" t="n">
        <v>8.35</v>
      </c>
      <c r="F237" s="27" t="n">
        <v>35271.12196832</v>
      </c>
      <c r="G237" s="27" t="n">
        <v>65564.56063232</v>
      </c>
      <c r="H237" s="27" t="n">
        <v>3.86</v>
      </c>
      <c r="I237" s="27" t="n">
        <v>8.42</v>
      </c>
    </row>
    <row r="238" customFormat="false" ht="15" hidden="false" customHeight="false" outlineLevel="0" collapsed="false">
      <c r="A238" s="23" t="s">
        <v>366</v>
      </c>
      <c r="B238" s="27" t="n">
        <v>73709.38748366</v>
      </c>
      <c r="C238" s="27" t="n">
        <v>11975.24916445</v>
      </c>
      <c r="D238" s="27" t="n">
        <v>3.79</v>
      </c>
      <c r="E238" s="27" t="n">
        <v>7.99</v>
      </c>
      <c r="F238" s="27" t="n">
        <v>36850.82531247</v>
      </c>
      <c r="G238" s="27" t="n">
        <v>68647.30287403</v>
      </c>
      <c r="H238" s="27" t="n">
        <v>3.84</v>
      </c>
      <c r="I238" s="27" t="n">
        <v>8.23</v>
      </c>
    </row>
    <row r="239" customFormat="false" ht="15" hidden="false" customHeight="false" outlineLevel="0" collapsed="false">
      <c r="A239" s="23" t="s">
        <v>367</v>
      </c>
      <c r="B239" s="27" t="n">
        <v>74304.55740054</v>
      </c>
      <c r="C239" s="27" t="n">
        <v>12078.30332304</v>
      </c>
      <c r="D239" s="27" t="n">
        <v>3.78</v>
      </c>
      <c r="E239" s="27" t="n">
        <v>6.88</v>
      </c>
      <c r="F239" s="27" t="n">
        <v>37337.18111407</v>
      </c>
      <c r="G239" s="27" t="n">
        <v>69592.65728923</v>
      </c>
      <c r="H239" s="27" t="n">
        <v>3.81</v>
      </c>
      <c r="I239" s="27" t="n">
        <v>7.19</v>
      </c>
    </row>
    <row r="240" customFormat="false" ht="15" hidden="false" customHeight="false" outlineLevel="0" collapsed="false">
      <c r="A240" s="23" t="s">
        <v>368</v>
      </c>
      <c r="B240" s="27" t="n">
        <v>76090.51345026</v>
      </c>
      <c r="C240" s="27" t="n">
        <v>12434.1402017</v>
      </c>
      <c r="D240" s="27" t="n">
        <v>3.87</v>
      </c>
      <c r="E240" s="27" t="n">
        <v>8.16</v>
      </c>
      <c r="F240" s="27" t="n">
        <v>38355.99842228</v>
      </c>
      <c r="G240" s="27" t="n">
        <v>71827.33745812</v>
      </c>
      <c r="H240" s="27" t="n">
        <v>3.87</v>
      </c>
      <c r="I240" s="27" t="n">
        <v>8.31</v>
      </c>
    </row>
    <row r="241" customFormat="false" ht="15" hidden="false" customHeight="false" outlineLevel="0" collapsed="false">
      <c r="A241" s="23" t="s">
        <v>369</v>
      </c>
      <c r="B241" s="27" t="n">
        <v>75497.14533026</v>
      </c>
      <c r="C241" s="27" t="n">
        <v>12435.42834125</v>
      </c>
      <c r="D241" s="27" t="n">
        <v>3.3</v>
      </c>
      <c r="E241" s="27" t="n">
        <v>8.1</v>
      </c>
      <c r="F241" s="27" t="n">
        <v>38131.21834579</v>
      </c>
      <c r="G241" s="27" t="n">
        <v>72007.50274351</v>
      </c>
      <c r="H241" s="27" t="n">
        <v>3.3</v>
      </c>
      <c r="I241" s="27" t="n">
        <v>8.07</v>
      </c>
    </row>
    <row r="242" customFormat="false" ht="15" hidden="false" customHeight="false" outlineLevel="0" collapsed="false">
      <c r="A242" s="23" t="s">
        <v>370</v>
      </c>
      <c r="B242" s="27" t="n">
        <v>72438.25030157</v>
      </c>
      <c r="C242" s="27" t="n">
        <v>11980.40846857</v>
      </c>
      <c r="D242" s="27" t="n">
        <v>3.6</v>
      </c>
      <c r="E242" s="27" t="n">
        <v>8.47</v>
      </c>
      <c r="F242" s="27" t="n">
        <v>36581.74876644</v>
      </c>
      <c r="G242" s="27" t="n">
        <v>69378.32478356</v>
      </c>
      <c r="H242" s="27" t="n">
        <v>3.61</v>
      </c>
      <c r="I242" s="27" t="n">
        <v>8.44</v>
      </c>
    </row>
    <row r="243" customFormat="false" ht="15" hidden="false" customHeight="false" outlineLevel="0" collapsed="false">
      <c r="A243" s="23" t="s">
        <v>371</v>
      </c>
      <c r="B243" s="27" t="n">
        <v>72094.86531741</v>
      </c>
      <c r="C243" s="27" t="n">
        <v>11937.01818106</v>
      </c>
      <c r="D243" s="27" t="n">
        <v>3.67</v>
      </c>
      <c r="E243" s="27" t="n">
        <v>8.58</v>
      </c>
      <c r="F243" s="27" t="n">
        <v>36414.48876998</v>
      </c>
      <c r="G243" s="27" t="n">
        <v>69142.50569672</v>
      </c>
      <c r="H243" s="27" t="n">
        <v>3.67</v>
      </c>
      <c r="I243" s="27" t="n">
        <v>8.56</v>
      </c>
    </row>
    <row r="244" customFormat="false" ht="15" hidden="false" customHeight="false" outlineLevel="0" collapsed="false">
      <c r="A244" s="23" t="s">
        <v>372</v>
      </c>
      <c r="B244" s="27" t="n">
        <v>66223.3084148</v>
      </c>
      <c r="C244" s="27" t="n">
        <v>10981.30455866</v>
      </c>
      <c r="D244" s="27" t="n">
        <v>4</v>
      </c>
      <c r="E244" s="27" t="n">
        <v>9.1</v>
      </c>
      <c r="F244" s="27" t="n">
        <v>33532.3220944</v>
      </c>
      <c r="G244" s="27" t="n">
        <v>63770.33726742</v>
      </c>
      <c r="H244" s="27" t="n">
        <v>4</v>
      </c>
      <c r="I244" s="27" t="n">
        <v>9.05</v>
      </c>
    </row>
    <row r="245" customFormat="false" ht="15" hidden="false" customHeight="false" outlineLevel="0" collapsed="false">
      <c r="A245" s="23" t="s">
        <v>373</v>
      </c>
      <c r="B245" s="27" t="n">
        <v>68934.0112334</v>
      </c>
      <c r="C245" s="27" t="n">
        <v>11444.96811814</v>
      </c>
      <c r="D245" s="27" t="n">
        <v>3.89</v>
      </c>
      <c r="E245" s="27" t="n">
        <v>8.44</v>
      </c>
      <c r="F245" s="27" t="n">
        <v>34816.54582486</v>
      </c>
      <c r="G245" s="27" t="n">
        <v>66298.65761411</v>
      </c>
      <c r="H245" s="27" t="n">
        <v>3.9</v>
      </c>
      <c r="I245" s="27" t="n">
        <v>8.45</v>
      </c>
    </row>
    <row r="246" customFormat="false" ht="15" hidden="false" customHeight="false" outlineLevel="0" collapsed="false">
      <c r="A246" s="23" t="s">
        <v>374</v>
      </c>
      <c r="B246" s="27" t="n">
        <v>67257.14248274</v>
      </c>
      <c r="C246" s="27" t="n">
        <v>11234.66351588</v>
      </c>
      <c r="D246" s="27" t="n">
        <v>3.9</v>
      </c>
      <c r="E246" s="27" t="n">
        <v>9.15</v>
      </c>
      <c r="F246" s="27" t="n">
        <v>34012.68232412</v>
      </c>
      <c r="G246" s="27" t="n">
        <v>65133.5153681</v>
      </c>
      <c r="H246" s="27" t="n">
        <v>3.92</v>
      </c>
      <c r="I246" s="27" t="n">
        <v>9.18</v>
      </c>
    </row>
    <row r="247" customFormat="false" ht="15" hidden="false" customHeight="false" outlineLevel="0" collapsed="false">
      <c r="A247" s="23" t="s">
        <v>375</v>
      </c>
      <c r="B247" s="27" t="n">
        <v>63726.37084217</v>
      </c>
      <c r="C247" s="27" t="n">
        <v>10770.73117092</v>
      </c>
      <c r="D247" s="27" t="n">
        <v>4.42</v>
      </c>
      <c r="E247" s="27" t="n">
        <v>9.65</v>
      </c>
      <c r="F247" s="27" t="n">
        <v>32242.42407771</v>
      </c>
      <c r="G247" s="27" t="n">
        <v>62480.09856201</v>
      </c>
      <c r="H247" s="27" t="n">
        <v>4.47</v>
      </c>
      <c r="I247" s="27" t="n">
        <v>9.75</v>
      </c>
    </row>
    <row r="248" customFormat="false" ht="15" hidden="false" customHeight="false" outlineLevel="0" collapsed="false">
      <c r="A248" s="23" t="s">
        <v>376</v>
      </c>
      <c r="B248" s="27" t="n">
        <v>66671.65003932</v>
      </c>
      <c r="C248" s="27" t="n">
        <v>11297.39745994</v>
      </c>
      <c r="D248" s="27" t="n">
        <v>4.28</v>
      </c>
      <c r="E248" s="27" t="n">
        <v>9.24</v>
      </c>
      <c r="F248" s="27" t="n">
        <v>33730.13095641</v>
      </c>
      <c r="G248" s="27" t="n">
        <v>65533.47738899</v>
      </c>
      <c r="H248" s="27" t="n">
        <v>4.33</v>
      </c>
      <c r="I248" s="27" t="n">
        <v>9.34</v>
      </c>
    </row>
    <row r="249" customFormat="false" ht="15" hidden="false" customHeight="false" outlineLevel="0" collapsed="false">
      <c r="A249" s="23" t="s">
        <v>377</v>
      </c>
      <c r="B249" s="27" t="n">
        <v>74828.00247938</v>
      </c>
      <c r="C249" s="27" t="n">
        <v>12690.81812995</v>
      </c>
      <c r="D249" s="27" t="n">
        <v>3.76</v>
      </c>
      <c r="E249" s="27" t="n">
        <v>8.17</v>
      </c>
      <c r="F249" s="27" t="n">
        <v>37796.05158992</v>
      </c>
      <c r="G249" s="27" t="n">
        <v>73499.97288412</v>
      </c>
      <c r="H249" s="27" t="n">
        <v>3.81</v>
      </c>
      <c r="I249" s="27" t="n">
        <v>8.28</v>
      </c>
    </row>
    <row r="250" customFormat="false" ht="15" hidden="false" customHeight="false" outlineLevel="0" collapsed="false">
      <c r="A250" s="23" t="s">
        <v>378</v>
      </c>
      <c r="B250" s="27" t="n">
        <v>73048.56880621</v>
      </c>
      <c r="C250" s="27" t="n">
        <v>12403.83804176</v>
      </c>
      <c r="D250" s="27" t="n">
        <v>3.86</v>
      </c>
      <c r="E250" s="27" t="n">
        <v>8.41</v>
      </c>
      <c r="F250" s="27" t="n">
        <v>36870.56172603</v>
      </c>
      <c r="G250" s="27" t="n">
        <v>71788.1821167</v>
      </c>
      <c r="H250" s="27" t="n">
        <v>3.95</v>
      </c>
      <c r="I250" s="27" t="n">
        <v>8.6</v>
      </c>
    </row>
    <row r="251" customFormat="false" ht="15" hidden="false" customHeight="false" outlineLevel="0" collapsed="false">
      <c r="A251" s="23" t="s">
        <v>379</v>
      </c>
      <c r="B251" s="27" t="n">
        <v>79476.59640508</v>
      </c>
      <c r="C251" s="27" t="n">
        <v>13506.61157457</v>
      </c>
      <c r="D251" s="27" t="n">
        <v>3.58</v>
      </c>
      <c r="E251" s="27" t="n">
        <v>7.73</v>
      </c>
      <c r="F251" s="27" t="n">
        <v>39995.2797312</v>
      </c>
      <c r="G251" s="27" t="n">
        <v>77939.51753436</v>
      </c>
      <c r="H251" s="27" t="n">
        <v>3.67</v>
      </c>
      <c r="I251" s="27" t="n">
        <v>7.93</v>
      </c>
    </row>
    <row r="252" customFormat="false" ht="15" hidden="false" customHeight="false" outlineLevel="0" collapsed="false">
      <c r="A252" s="23" t="s">
        <v>380</v>
      </c>
      <c r="B252" s="27" t="n">
        <v>77733.87137451</v>
      </c>
      <c r="C252" s="27" t="n">
        <v>13210.44501569</v>
      </c>
      <c r="D252" s="27" t="n">
        <v>3.66</v>
      </c>
      <c r="E252" s="27" t="n">
        <v>8.26</v>
      </c>
      <c r="F252" s="27" t="n">
        <v>39003.11626006</v>
      </c>
      <c r="G252" s="27" t="n">
        <v>76006.07081825</v>
      </c>
      <c r="H252" s="27" t="n">
        <v>3.77</v>
      </c>
      <c r="I252" s="27" t="n">
        <v>8.49</v>
      </c>
    </row>
    <row r="253" customFormat="false" ht="15" hidden="false" customHeight="false" outlineLevel="0" collapsed="false">
      <c r="A253" s="23" t="s">
        <v>381</v>
      </c>
      <c r="B253" s="27" t="n">
        <v>76100.17099377</v>
      </c>
      <c r="C253" s="27" t="n">
        <v>13044.56597028</v>
      </c>
      <c r="D253" s="27" t="n">
        <v>3.81</v>
      </c>
      <c r="E253" s="27" t="n">
        <v>9.04</v>
      </c>
      <c r="F253" s="27" t="n">
        <v>38075.09841443</v>
      </c>
      <c r="G253" s="27" t="n">
        <v>74876.57096709</v>
      </c>
      <c r="H253" s="27" t="n">
        <v>4.04</v>
      </c>
      <c r="I253" s="27" t="n">
        <v>9.56</v>
      </c>
    </row>
    <row r="254" customFormat="false" ht="15" hidden="false" customHeight="false" outlineLevel="0" collapsed="false">
      <c r="A254" s="23" t="s">
        <v>382</v>
      </c>
      <c r="B254" s="27" t="n">
        <v>78218.37034492</v>
      </c>
      <c r="C254" s="27" t="n">
        <v>13484.9030509</v>
      </c>
      <c r="D254" s="27" t="n">
        <v>3.82</v>
      </c>
      <c r="E254" s="27" t="n">
        <v>8.43</v>
      </c>
      <c r="F254" s="27" t="n">
        <v>39029.52061401</v>
      </c>
      <c r="G254" s="27" t="n">
        <v>77229.78044453</v>
      </c>
      <c r="H254" s="27" t="n">
        <v>4.06</v>
      </c>
      <c r="I254" s="27" t="n">
        <v>9.09</v>
      </c>
    </row>
    <row r="255" customFormat="false" ht="15" hidden="false" customHeight="false" outlineLevel="0" collapsed="false">
      <c r="A255" s="23" t="s">
        <v>383</v>
      </c>
      <c r="B255" s="27" t="n">
        <v>75067.47193612</v>
      </c>
      <c r="C255" s="27" t="n">
        <v>12956.10100949</v>
      </c>
      <c r="D255" s="27" t="n">
        <v>4.01</v>
      </c>
      <c r="E255" s="27" t="n">
        <v>9.38</v>
      </c>
      <c r="F255" s="27" t="n">
        <v>37212.7737487</v>
      </c>
      <c r="G255" s="27" t="n">
        <v>73723.72905503</v>
      </c>
      <c r="H255" s="27" t="n">
        <v>4.29</v>
      </c>
      <c r="I255" s="27" t="n">
        <v>9.87</v>
      </c>
    </row>
    <row r="256" customFormat="false" ht="15" hidden="false" customHeight="false" outlineLevel="0" collapsed="false">
      <c r="A256" s="23" t="s">
        <v>384</v>
      </c>
      <c r="B256" s="27" t="n">
        <v>76027.8311506</v>
      </c>
      <c r="C256" s="27" t="n">
        <v>13131.27835985</v>
      </c>
      <c r="D256" s="27" t="n">
        <v>4.57</v>
      </c>
      <c r="E256" s="27" t="n">
        <v>10.23</v>
      </c>
      <c r="F256" s="27" t="n">
        <v>37983.49179121</v>
      </c>
      <c r="G256" s="27" t="n">
        <v>75305.46142159</v>
      </c>
      <c r="H256" s="27" t="n">
        <v>4.59</v>
      </c>
      <c r="I256" s="27" t="n">
        <v>10.27</v>
      </c>
    </row>
    <row r="257" customFormat="false" ht="15" hidden="false" customHeight="false" outlineLevel="0" collapsed="false">
      <c r="A257" s="23" t="s">
        <v>385</v>
      </c>
      <c r="B257" s="27" t="n">
        <v>78977.89186906</v>
      </c>
      <c r="C257" s="27" t="n">
        <v>13658.07157403</v>
      </c>
      <c r="D257" s="27" t="n">
        <v>4.41</v>
      </c>
      <c r="E257" s="27" t="n">
        <v>9.39</v>
      </c>
      <c r="F257" s="27" t="n">
        <v>39458.23758298</v>
      </c>
      <c r="G257" s="27" t="n">
        <v>78328.64967014</v>
      </c>
      <c r="H257" s="27" t="n">
        <v>4.43</v>
      </c>
      <c r="I257" s="27" t="n">
        <v>9.42</v>
      </c>
    </row>
    <row r="258" customFormat="false" ht="15" hidden="false" customHeight="false" outlineLevel="0" collapsed="false">
      <c r="A258" s="23" t="s">
        <v>386</v>
      </c>
      <c r="B258" s="27" t="n">
        <v>74953.72870498</v>
      </c>
      <c r="C258" s="27" t="n">
        <v>13006.44172985</v>
      </c>
      <c r="D258" s="27" t="n">
        <v>4.42</v>
      </c>
      <c r="E258" s="27" t="n">
        <v>9.37</v>
      </c>
      <c r="F258" s="27" t="n">
        <v>37452.0775408</v>
      </c>
      <c r="G258" s="27" t="n">
        <v>74601.1653901</v>
      </c>
      <c r="H258" s="27" t="n">
        <v>4.43</v>
      </c>
      <c r="I258" s="27" t="n">
        <v>9.4</v>
      </c>
    </row>
    <row r="259" customFormat="false" ht="15" hidden="false" customHeight="false" outlineLevel="0" collapsed="false">
      <c r="A259" s="23" t="s">
        <v>387</v>
      </c>
      <c r="B259" s="27" t="n">
        <v>72382.89130254</v>
      </c>
      <c r="C259" s="27" t="n">
        <v>12674.92644558</v>
      </c>
      <c r="D259" s="27" t="n">
        <v>4.33</v>
      </c>
      <c r="E259" s="27" t="n">
        <v>9.63</v>
      </c>
      <c r="F259" s="27" t="n">
        <v>36180.80085625</v>
      </c>
      <c r="G259" s="27" t="n">
        <v>72730.49355808</v>
      </c>
      <c r="H259" s="27" t="n">
        <v>4.38</v>
      </c>
      <c r="I259" s="27" t="n">
        <v>9.72</v>
      </c>
    </row>
    <row r="260" customFormat="false" ht="15" hidden="false" customHeight="false" outlineLevel="0" collapsed="false">
      <c r="A260" s="23" t="s">
        <v>388</v>
      </c>
      <c r="B260" s="27" t="n">
        <v>69653.43514298</v>
      </c>
      <c r="C260" s="27" t="n">
        <v>12239.20278956</v>
      </c>
      <c r="D260" s="27" t="n">
        <v>4.52</v>
      </c>
      <c r="E260" s="27" t="n">
        <v>9.99</v>
      </c>
      <c r="F260" s="27" t="n">
        <v>34818.62241439</v>
      </c>
      <c r="G260" s="27" t="n">
        <v>70237.06273351</v>
      </c>
      <c r="H260" s="27" t="n">
        <v>4.56</v>
      </c>
      <c r="I260" s="27" t="n">
        <v>10.08</v>
      </c>
    </row>
    <row r="261" customFormat="false" ht="15" hidden="false" customHeight="false" outlineLevel="0" collapsed="false">
      <c r="A261" s="23" t="s">
        <v>389</v>
      </c>
      <c r="B261" s="27" t="n">
        <v>75534.35538437</v>
      </c>
      <c r="C261" s="27" t="n">
        <v>13286.08661562</v>
      </c>
      <c r="D261" s="27" t="n">
        <v>4.08</v>
      </c>
      <c r="E261" s="27" t="n">
        <v>9.1</v>
      </c>
      <c r="F261" s="27" t="n">
        <v>37719.8667611</v>
      </c>
      <c r="G261" s="27" t="n">
        <v>76167.83091512</v>
      </c>
      <c r="H261" s="27" t="n">
        <v>4.13</v>
      </c>
      <c r="I261" s="27" t="n">
        <v>9.19</v>
      </c>
    </row>
    <row r="262" customFormat="false" ht="15" hidden="false" customHeight="false" outlineLevel="0" collapsed="false">
      <c r="A262" s="23" t="s">
        <v>390</v>
      </c>
      <c r="B262" s="27" t="n">
        <v>76893.15205946</v>
      </c>
      <c r="C262" s="27" t="n">
        <v>13551.61360005</v>
      </c>
      <c r="D262" s="27" t="n">
        <v>4.06</v>
      </c>
      <c r="E262" s="27" t="n">
        <v>9.14</v>
      </c>
      <c r="F262" s="27" t="n">
        <v>38467.75056183</v>
      </c>
      <c r="G262" s="27" t="n">
        <v>77830.69634508</v>
      </c>
      <c r="H262" s="27" t="n">
        <v>4.12</v>
      </c>
      <c r="I262" s="27" t="n">
        <v>9.24</v>
      </c>
    </row>
    <row r="263" customFormat="false" ht="15" hidden="false" customHeight="false" outlineLevel="0" collapsed="false">
      <c r="A263" s="23" t="s">
        <v>391</v>
      </c>
      <c r="B263" s="27" t="n">
        <v>74555.86623693</v>
      </c>
      <c r="C263" s="27" t="n">
        <v>13154.02579182</v>
      </c>
      <c r="D263" s="27" t="n">
        <v>4.2</v>
      </c>
      <c r="E263" s="27" t="n">
        <v>9.43</v>
      </c>
      <c r="F263" s="27" t="n">
        <v>37279.98809162</v>
      </c>
      <c r="G263" s="27" t="n">
        <v>75511.02346998</v>
      </c>
      <c r="H263" s="27" t="n">
        <v>4.26</v>
      </c>
      <c r="I263" s="27" t="n">
        <v>9.54</v>
      </c>
    </row>
    <row r="264" customFormat="false" ht="15" hidden="false" customHeight="false" outlineLevel="0" collapsed="false">
      <c r="A264" s="23" t="s">
        <v>392</v>
      </c>
      <c r="B264" s="27" t="n">
        <v>72729.7294285</v>
      </c>
      <c r="C264" s="27" t="n">
        <v>12832.50028822</v>
      </c>
      <c r="D264" s="27" t="n">
        <v>4.29</v>
      </c>
      <c r="E264" s="27" t="n">
        <v>8.78</v>
      </c>
      <c r="F264" s="27" t="n">
        <v>36349.91026033</v>
      </c>
      <c r="G264" s="27" t="n">
        <v>73631.00637002</v>
      </c>
      <c r="H264" s="27" t="n">
        <v>4.35</v>
      </c>
      <c r="I264" s="27" t="n">
        <v>8.88</v>
      </c>
    </row>
    <row r="265" customFormat="false" ht="15" hidden="false" customHeight="false" outlineLevel="0" collapsed="false">
      <c r="A265" s="23" t="s">
        <v>393</v>
      </c>
      <c r="B265" s="27" t="n">
        <v>74535.99070433</v>
      </c>
      <c r="C265" s="27" t="n">
        <v>13246.73628755</v>
      </c>
      <c r="D265" s="27" t="n">
        <v>4.01</v>
      </c>
      <c r="E265" s="27" t="n">
        <v>7.64</v>
      </c>
      <c r="F265" s="27" t="n">
        <v>37248.84573687</v>
      </c>
      <c r="G265" s="27" t="n">
        <v>76006.32010867</v>
      </c>
      <c r="H265" s="27" t="n">
        <v>4.04</v>
      </c>
      <c r="I265" s="27" t="n">
        <v>7.69</v>
      </c>
    </row>
    <row r="266" customFormat="false" ht="15" hidden="false" customHeight="false" outlineLevel="0" collapsed="false">
      <c r="A266" s="23" t="s">
        <v>394</v>
      </c>
      <c r="B266" s="27" t="n">
        <v>76076.16639245</v>
      </c>
      <c r="C266" s="27" t="n">
        <v>13638.07660994</v>
      </c>
      <c r="D266" s="27" t="n">
        <v>3.94</v>
      </c>
      <c r="E266" s="27" t="n">
        <v>7.51</v>
      </c>
      <c r="F266" s="27" t="n">
        <v>38002.07126019</v>
      </c>
      <c r="G266" s="27" t="n">
        <v>78223.48470749</v>
      </c>
      <c r="H266" s="27" t="n">
        <v>3.97</v>
      </c>
      <c r="I266" s="27" t="n">
        <v>7.56</v>
      </c>
    </row>
    <row r="267" customFormat="false" ht="15" hidden="false" customHeight="false" outlineLevel="0" collapsed="false">
      <c r="A267" s="23" t="s">
        <v>395</v>
      </c>
      <c r="B267" s="27" t="n">
        <v>76704.25969633</v>
      </c>
      <c r="C267" s="27" t="n">
        <v>13769.06991927</v>
      </c>
      <c r="D267" s="27" t="n">
        <v>3.9</v>
      </c>
      <c r="E267" s="27" t="n">
        <v>7.57</v>
      </c>
      <c r="F267" s="27" t="n">
        <v>38305.19137562</v>
      </c>
      <c r="G267" s="27" t="n">
        <v>78953.89606509</v>
      </c>
      <c r="H267" s="27" t="n">
        <v>3.93</v>
      </c>
      <c r="I267" s="27" t="n">
        <v>7.62</v>
      </c>
    </row>
    <row r="268" customFormat="false" ht="15" hidden="false" customHeight="false" outlineLevel="0" collapsed="false">
      <c r="A268" s="23" t="s">
        <v>396</v>
      </c>
      <c r="B268" s="27" t="n">
        <v>79707.11408107</v>
      </c>
      <c r="C268" s="27" t="n">
        <v>14331.22782338</v>
      </c>
      <c r="D268" s="27" t="n">
        <v>3.76</v>
      </c>
      <c r="E268" s="27" t="n">
        <v>7.53</v>
      </c>
      <c r="F268" s="27" t="n">
        <v>39837.59909646</v>
      </c>
      <c r="G268" s="27" t="n">
        <v>82248.0439588</v>
      </c>
      <c r="H268" s="27" t="n">
        <v>3.88</v>
      </c>
      <c r="I268" s="27" t="n">
        <v>7.66</v>
      </c>
    </row>
    <row r="269" customFormat="false" ht="15" hidden="false" customHeight="false" outlineLevel="0" collapsed="false">
      <c r="A269" s="23" t="s">
        <v>397</v>
      </c>
      <c r="B269" s="27" t="n">
        <v>82765.12285454</v>
      </c>
      <c r="C269" s="27" t="n">
        <v>14892.53486453</v>
      </c>
      <c r="D269" s="27" t="n">
        <v>3.62</v>
      </c>
      <c r="E269" s="27" t="n">
        <v>7.14</v>
      </c>
      <c r="F269" s="27" t="n">
        <v>41435.55274356</v>
      </c>
      <c r="G269" s="27" t="n">
        <v>85615.2533693</v>
      </c>
      <c r="H269" s="27" t="n">
        <v>3.72</v>
      </c>
      <c r="I269" s="27" t="n">
        <v>7.24</v>
      </c>
    </row>
    <row r="270" customFormat="false" ht="15" hidden="false" customHeight="false" outlineLevel="0" collapsed="false">
      <c r="A270" s="23" t="s">
        <v>398</v>
      </c>
      <c r="B270" s="27" t="n">
        <v>83749.85657495</v>
      </c>
      <c r="C270" s="27" t="n">
        <v>15097.63073566</v>
      </c>
      <c r="D270" s="27" t="n">
        <v>3.59</v>
      </c>
      <c r="E270" s="27" t="n">
        <v>6.49</v>
      </c>
      <c r="F270" s="27" t="n">
        <v>41888.26527187</v>
      </c>
      <c r="G270" s="27" t="n">
        <v>86716.05134906</v>
      </c>
      <c r="H270" s="27" t="n">
        <v>3.69</v>
      </c>
      <c r="I270" s="27" t="n">
        <v>6.58</v>
      </c>
    </row>
    <row r="271" customFormat="false" ht="15" hidden="false" customHeight="false" outlineLevel="0" collapsed="false">
      <c r="A271" s="23" t="s">
        <v>399</v>
      </c>
      <c r="B271" s="27" t="n">
        <v>86548.42394597</v>
      </c>
      <c r="C271" s="27" t="n">
        <v>15707.96652294</v>
      </c>
      <c r="D271" s="27" t="n">
        <v>3.47</v>
      </c>
      <c r="E271" s="27" t="n">
        <v>6.32</v>
      </c>
      <c r="F271" s="27" t="n">
        <v>43251.14711761</v>
      </c>
      <c r="G271" s="27" t="n">
        <v>90160.53790448</v>
      </c>
      <c r="H271" s="27" t="n">
        <v>3.5</v>
      </c>
      <c r="I271" s="27" t="n">
        <v>6.35</v>
      </c>
    </row>
    <row r="272" customFormat="false" ht="15" hidden="false" customHeight="false" outlineLevel="0" collapsed="false">
      <c r="A272" s="23" t="s">
        <v>400</v>
      </c>
      <c r="B272" s="27" t="n">
        <v>85384.82270604</v>
      </c>
      <c r="C272" s="27" t="n">
        <v>15563.69667495</v>
      </c>
      <c r="D272" s="27" t="n">
        <v>3.54</v>
      </c>
      <c r="E272" s="27" t="n">
        <v>6.43</v>
      </c>
      <c r="F272" s="27" t="n">
        <v>42670.19780822</v>
      </c>
      <c r="G272" s="27" t="n">
        <v>89337.21225311</v>
      </c>
      <c r="H272" s="27" t="n">
        <v>3.57</v>
      </c>
      <c r="I272" s="27" t="n">
        <v>6.46</v>
      </c>
    </row>
    <row r="273" customFormat="false" ht="15" hidden="false" customHeight="false" outlineLevel="0" collapsed="false">
      <c r="A273" s="23" t="s">
        <v>401</v>
      </c>
      <c r="B273" s="27" t="n">
        <v>84510.4417305</v>
      </c>
      <c r="C273" s="27" t="n">
        <v>15416.97080879</v>
      </c>
      <c r="D273" s="27" t="n">
        <v>3.43</v>
      </c>
      <c r="E273" s="27" t="n">
        <v>6.79</v>
      </c>
      <c r="F273" s="27" t="n">
        <v>42236.12929764</v>
      </c>
      <c r="G273" s="27" t="n">
        <v>88501.72644242</v>
      </c>
      <c r="H273" s="27" t="n">
        <v>3.46</v>
      </c>
      <c r="I273" s="27" t="n">
        <v>6.82</v>
      </c>
    </row>
    <row r="274" customFormat="false" ht="15" hidden="false" customHeight="false" outlineLevel="0" collapsed="false">
      <c r="A274" s="23" t="s">
        <v>402</v>
      </c>
      <c r="B274" s="27" t="n">
        <v>84095.1449622</v>
      </c>
      <c r="C274" s="27" t="n">
        <v>15372.79420076</v>
      </c>
      <c r="D274" s="27" t="n">
        <v>3.46</v>
      </c>
      <c r="E274" s="27" t="n">
        <v>7.04</v>
      </c>
      <c r="F274" s="27" t="n">
        <v>42018.40898551</v>
      </c>
      <c r="G274" s="27" t="n">
        <v>88227.2733971</v>
      </c>
      <c r="H274" s="27" t="n">
        <v>3.56</v>
      </c>
      <c r="I274" s="27" t="n">
        <v>7.12</v>
      </c>
    </row>
    <row r="275" customFormat="false" ht="15" hidden="false" customHeight="false" outlineLevel="0" collapsed="false">
      <c r="A275" s="23" t="s">
        <v>403</v>
      </c>
      <c r="B275" s="27" t="n">
        <v>85956.65081222</v>
      </c>
      <c r="C275" s="27" t="n">
        <v>15729.21488347</v>
      </c>
      <c r="D275" s="27" t="n">
        <v>3.39</v>
      </c>
      <c r="E275" s="27" t="n">
        <v>6.89</v>
      </c>
      <c r="F275" s="27" t="n">
        <v>43048.09827629</v>
      </c>
      <c r="G275" s="27" t="n">
        <v>90484.82104508</v>
      </c>
      <c r="H275" s="27" t="n">
        <v>3.48</v>
      </c>
      <c r="I275" s="27" t="n">
        <v>6.95</v>
      </c>
    </row>
    <row r="276" customFormat="false" ht="15" hidden="false" customHeight="false" outlineLevel="0" collapsed="false">
      <c r="A276" s="23" t="s">
        <v>404</v>
      </c>
      <c r="B276" s="27" t="n">
        <v>85942.70726635</v>
      </c>
      <c r="C276" s="27" t="n">
        <v>15727.11718952</v>
      </c>
      <c r="D276" s="27" t="n">
        <v>3.39</v>
      </c>
      <c r="E276" s="27" t="n">
        <v>6.85</v>
      </c>
      <c r="F276" s="27" t="n">
        <v>42883.60388829</v>
      </c>
      <c r="G276" s="27" t="n">
        <v>90141.75221202</v>
      </c>
      <c r="H276" s="27" t="n">
        <v>3.5</v>
      </c>
      <c r="I276" s="27" t="n">
        <v>6.94</v>
      </c>
    </row>
    <row r="277" customFormat="false" ht="15" hidden="false" customHeight="false" outlineLevel="0" collapsed="false">
      <c r="A277" s="23" t="s">
        <v>405</v>
      </c>
      <c r="B277" s="27" t="n">
        <v>88637.45351859</v>
      </c>
      <c r="C277" s="27" t="n">
        <v>16286.20168566</v>
      </c>
      <c r="D277" s="27" t="n">
        <v>3.32</v>
      </c>
      <c r="E277" s="27" t="n">
        <v>6.87</v>
      </c>
      <c r="F277" s="27" t="n">
        <v>44239.97098573</v>
      </c>
      <c r="G277" s="27" t="n">
        <v>93385.42890954</v>
      </c>
      <c r="H277" s="27" t="n">
        <v>3.45</v>
      </c>
      <c r="I277" s="27" t="n">
        <v>6.98</v>
      </c>
    </row>
    <row r="278" customFormat="false" ht="15" hidden="false" customHeight="false" outlineLevel="0" collapsed="false">
      <c r="A278" s="23" t="s">
        <v>406</v>
      </c>
      <c r="B278" s="27" t="n">
        <v>91583.38789299</v>
      </c>
      <c r="C278" s="27" t="n">
        <v>16993.41826748</v>
      </c>
      <c r="D278" s="27" t="n">
        <v>3.29</v>
      </c>
      <c r="E278" s="27" t="n">
        <v>6.67</v>
      </c>
      <c r="F278" s="27" t="n">
        <v>45642.90770106</v>
      </c>
      <c r="G278" s="27" t="n">
        <v>97337.50098037</v>
      </c>
      <c r="H278" s="27" t="n">
        <v>3.43</v>
      </c>
      <c r="I278" s="27" t="n">
        <v>6.79</v>
      </c>
    </row>
    <row r="279" customFormat="false" ht="15" hidden="false" customHeight="false" outlineLevel="0" collapsed="false">
      <c r="A279" s="23" t="s">
        <v>407</v>
      </c>
      <c r="B279" s="27" t="n">
        <v>94330.83754488</v>
      </c>
      <c r="C279" s="27" t="n">
        <v>17527.49283476</v>
      </c>
      <c r="D279" s="27" t="n">
        <v>3.12</v>
      </c>
      <c r="E279" s="27" t="n">
        <v>6.37</v>
      </c>
      <c r="F279" s="27" t="n">
        <v>46957.31653404</v>
      </c>
      <c r="G279" s="27" t="n">
        <v>100285.96161957</v>
      </c>
      <c r="H279" s="27" t="n">
        <v>3.25</v>
      </c>
      <c r="I279" s="27" t="n">
        <v>6.49</v>
      </c>
    </row>
    <row r="280" customFormat="false" ht="15" hidden="false" customHeight="false" outlineLevel="0" collapsed="false">
      <c r="A280" s="23" t="s">
        <v>408</v>
      </c>
      <c r="B280" s="27" t="n">
        <v>96429.74061271</v>
      </c>
      <c r="C280" s="27" t="n">
        <v>17940.03089145</v>
      </c>
      <c r="D280" s="27" t="n">
        <v>3.09</v>
      </c>
      <c r="E280" s="27" t="n">
        <v>6.54</v>
      </c>
      <c r="F280" s="27" t="n">
        <v>47905.16527566</v>
      </c>
      <c r="G280" s="27" t="n">
        <v>102444.82694045</v>
      </c>
      <c r="H280" s="27" t="n">
        <v>3.22</v>
      </c>
      <c r="I280" s="27" t="n">
        <v>6.61</v>
      </c>
    </row>
    <row r="281" customFormat="false" ht="15" hidden="false" customHeight="false" outlineLevel="0" collapsed="false">
      <c r="A281" s="23" t="s">
        <v>409</v>
      </c>
      <c r="B281" s="27" t="n">
        <v>98519.508781</v>
      </c>
      <c r="C281" s="27" t="n">
        <v>18347.16985053</v>
      </c>
      <c r="D281" s="27" t="n">
        <v>3.04</v>
      </c>
      <c r="E281" s="27" t="n">
        <v>6.37</v>
      </c>
      <c r="F281" s="27" t="n">
        <v>48925.43202933</v>
      </c>
      <c r="G281" s="27" t="n">
        <v>104735.98176974</v>
      </c>
      <c r="H281" s="27" t="n">
        <v>3.17</v>
      </c>
      <c r="I281" s="27" t="n">
        <v>6.44</v>
      </c>
    </row>
    <row r="282" customFormat="false" ht="15" hidden="false" customHeight="false" outlineLevel="0" collapsed="false">
      <c r="A282" s="23" t="s">
        <v>410</v>
      </c>
      <c r="B282" s="27" t="n">
        <v>101835.58867078</v>
      </c>
      <c r="C282" s="27" t="n">
        <v>18995.61328764</v>
      </c>
      <c r="D282" s="27" t="n">
        <v>2.94</v>
      </c>
      <c r="E282" s="27" t="n">
        <v>6.95</v>
      </c>
      <c r="F282" s="27" t="n">
        <v>50571.96935794</v>
      </c>
      <c r="G282" s="27" t="n">
        <v>108444.84426275</v>
      </c>
      <c r="H282" s="27" t="n">
        <v>3.07</v>
      </c>
      <c r="I282" s="27" t="n">
        <v>7.05</v>
      </c>
    </row>
    <row r="283" customFormat="false" ht="15" hidden="false" customHeight="false" outlineLevel="0" collapsed="false">
      <c r="A283" s="23" t="s">
        <v>411</v>
      </c>
      <c r="B283" s="27" t="n">
        <v>107940.47662226</v>
      </c>
      <c r="C283" s="27" t="n">
        <v>20250.82880081</v>
      </c>
      <c r="D283" s="27" t="n">
        <v>2.84</v>
      </c>
      <c r="E283" s="27" t="n">
        <v>6.59</v>
      </c>
      <c r="F283" s="27" t="n">
        <v>53549.31067946</v>
      </c>
      <c r="G283" s="27" t="n">
        <v>115522.43265074</v>
      </c>
      <c r="H283" s="27" t="n">
        <v>2.96</v>
      </c>
      <c r="I283" s="27" t="n">
        <v>6.69</v>
      </c>
    </row>
    <row r="284" customFormat="false" ht="15" hidden="false" customHeight="false" outlineLevel="0" collapsed="false">
      <c r="A284" s="23" t="s">
        <v>412</v>
      </c>
      <c r="B284" s="27" t="n">
        <v>109243.5612462</v>
      </c>
      <c r="C284" s="27" t="n">
        <v>20583.64656471</v>
      </c>
      <c r="D284" s="27" t="n">
        <v>2.86</v>
      </c>
      <c r="E284" s="27" t="n">
        <v>6.57</v>
      </c>
      <c r="F284" s="27" t="n">
        <v>54274.17645651</v>
      </c>
      <c r="G284" s="27" t="n">
        <v>117613.20885716</v>
      </c>
      <c r="H284" s="27" t="n">
        <v>2.98</v>
      </c>
      <c r="I284" s="27" t="n">
        <v>6.66</v>
      </c>
    </row>
    <row r="285" customFormat="false" ht="15" hidden="false" customHeight="false" outlineLevel="0" collapsed="false">
      <c r="A285" s="23" t="s">
        <v>413</v>
      </c>
      <c r="B285" s="27" t="n">
        <v>110958.51033315</v>
      </c>
      <c r="C285" s="27" t="n">
        <v>20934.55679832</v>
      </c>
      <c r="D285" s="27" t="n">
        <v>2.89</v>
      </c>
      <c r="E285" s="27" t="n">
        <v>6.4</v>
      </c>
      <c r="F285" s="27" t="n">
        <v>55446.53696449</v>
      </c>
      <c r="G285" s="27" t="n">
        <v>120319.82923761</v>
      </c>
      <c r="H285" s="27" t="n">
        <v>3</v>
      </c>
      <c r="I285" s="27" t="n">
        <v>6.44</v>
      </c>
    </row>
    <row r="286" customFormat="false" ht="15" hidden="false" customHeight="false" outlineLevel="0" collapsed="false">
      <c r="A286" s="23" t="s">
        <v>414</v>
      </c>
      <c r="B286" s="27" t="n">
        <v>115832.27839398</v>
      </c>
      <c r="C286" s="27" t="n">
        <v>21891.52282159</v>
      </c>
      <c r="D286" s="27" t="n">
        <v>2.8</v>
      </c>
      <c r="E286" s="27" t="n">
        <v>6.14</v>
      </c>
      <c r="F286" s="27" t="n">
        <v>57888.60263064</v>
      </c>
      <c r="G286" s="27" t="n">
        <v>125824.20914056</v>
      </c>
      <c r="H286" s="27" t="n">
        <v>2.83</v>
      </c>
      <c r="I286" s="27" t="n">
        <v>6.15</v>
      </c>
    </row>
    <row r="287" customFormat="false" ht="15" hidden="false" customHeight="false" outlineLevel="0" collapsed="false">
      <c r="A287" s="23" t="s">
        <v>415</v>
      </c>
      <c r="B287" s="27" t="n">
        <v>120045.73234195</v>
      </c>
      <c r="C287" s="27" t="n">
        <v>22705.54129386</v>
      </c>
      <c r="D287" s="27" t="n">
        <v>2.72</v>
      </c>
      <c r="E287" s="27" t="n">
        <v>5.92</v>
      </c>
      <c r="F287" s="27" t="n">
        <v>60070.91728954</v>
      </c>
      <c r="G287" s="27" t="n">
        <v>130670.43074591</v>
      </c>
      <c r="H287" s="27" t="n">
        <v>2.74</v>
      </c>
      <c r="I287" s="27" t="n">
        <v>5.92</v>
      </c>
    </row>
    <row r="288" customFormat="false" ht="15" hidden="false" customHeight="false" outlineLevel="0" collapsed="false">
      <c r="A288" s="23" t="s">
        <v>416</v>
      </c>
      <c r="B288" s="27" t="n">
        <v>128455.68176222</v>
      </c>
      <c r="C288" s="27" t="n">
        <v>24296.74829195</v>
      </c>
      <c r="D288" s="27" t="n">
        <v>2.55</v>
      </c>
      <c r="E288" s="27" t="n">
        <v>5.91</v>
      </c>
      <c r="F288" s="27" t="n">
        <v>64369.98120006</v>
      </c>
      <c r="G288" s="27" t="n">
        <v>140025.20397062</v>
      </c>
      <c r="H288" s="27" t="n">
        <v>2.56</v>
      </c>
      <c r="I288" s="27" t="n">
        <v>5.91</v>
      </c>
    </row>
    <row r="289" customFormat="false" ht="15" hidden="false" customHeight="false" outlineLevel="0" collapsed="false">
      <c r="A289" s="23" t="s">
        <v>417</v>
      </c>
      <c r="B289" s="27" t="n">
        <v>114067.55702612</v>
      </c>
      <c r="C289" s="27" t="n">
        <v>21757.60649507</v>
      </c>
      <c r="D289" s="27" t="n">
        <v>3.21</v>
      </c>
      <c r="E289" s="27" t="n">
        <v>6.93</v>
      </c>
      <c r="F289" s="27" t="n">
        <v>57094.27328844</v>
      </c>
      <c r="G289" s="27" t="n">
        <v>125251.98372691</v>
      </c>
      <c r="H289" s="27" t="n">
        <v>3.21</v>
      </c>
      <c r="I289" s="27" t="n">
        <v>6.93</v>
      </c>
    </row>
    <row r="290" customFormat="false" ht="15" hidden="false" customHeight="false" outlineLevel="0" collapsed="false">
      <c r="A290" s="23" t="s">
        <v>418</v>
      </c>
      <c r="B290" s="27" t="n">
        <v>115180.5275365</v>
      </c>
      <c r="C290" s="27" t="n">
        <v>22115.88791594</v>
      </c>
      <c r="D290" s="27" t="n">
        <v>3.27</v>
      </c>
      <c r="E290" s="27" t="n">
        <v>6.88</v>
      </c>
      <c r="F290" s="27" t="n">
        <v>57651.34879824</v>
      </c>
      <c r="G290" s="27" t="n">
        <v>127314.50189528</v>
      </c>
      <c r="H290" s="27" t="n">
        <v>3.27</v>
      </c>
      <c r="I290" s="27" t="n">
        <v>6.88</v>
      </c>
    </row>
    <row r="291" customFormat="false" ht="15" hidden="false" customHeight="false" outlineLevel="0" collapsed="false">
      <c r="A291" s="23" t="s">
        <v>419</v>
      </c>
      <c r="B291" s="27" t="n">
        <v>114632.28542101</v>
      </c>
      <c r="C291" s="27" t="n">
        <v>22057.15290394</v>
      </c>
      <c r="D291" s="27" t="n">
        <v>3.37</v>
      </c>
      <c r="E291" s="27" t="n">
        <v>7.04</v>
      </c>
      <c r="F291" s="27" t="n">
        <v>57376.93698487</v>
      </c>
      <c r="G291" s="27" t="n">
        <v>126976.38213155</v>
      </c>
      <c r="H291" s="27" t="n">
        <v>3.37</v>
      </c>
      <c r="I291" s="27" t="n">
        <v>7.04</v>
      </c>
    </row>
    <row r="292" customFormat="false" ht="15" hidden="false" customHeight="false" outlineLevel="0" collapsed="false">
      <c r="A292" s="23" t="s">
        <v>420</v>
      </c>
      <c r="B292" s="27" t="n">
        <v>110313.84527355</v>
      </c>
      <c r="C292" s="27" t="n">
        <v>21244.59503834</v>
      </c>
      <c r="D292" s="27" t="n">
        <v>3.51</v>
      </c>
      <c r="E292" s="27" t="n">
        <v>7.34</v>
      </c>
      <c r="F292" s="27" t="n">
        <v>55215.42666251</v>
      </c>
      <c r="G292" s="27" t="n">
        <v>122298.73137147</v>
      </c>
      <c r="H292" s="27" t="n">
        <v>3.51</v>
      </c>
      <c r="I292" s="27" t="n">
        <v>7.34</v>
      </c>
    </row>
    <row r="293" customFormat="false" ht="15" hidden="false" customHeight="false" outlineLevel="0" collapsed="false">
      <c r="A293" s="23" t="s">
        <v>421</v>
      </c>
      <c r="B293" s="27" t="n">
        <v>111493.10236008</v>
      </c>
      <c r="C293" s="27" t="n">
        <v>21496.31286591</v>
      </c>
      <c r="D293" s="27" t="n">
        <v>3.47</v>
      </c>
      <c r="E293" s="27" t="n">
        <v>7.48</v>
      </c>
      <c r="F293" s="27" t="n">
        <v>55805.68061491</v>
      </c>
      <c r="G293" s="27" t="n">
        <v>123747.79504719</v>
      </c>
      <c r="H293" s="27" t="n">
        <v>3.47</v>
      </c>
      <c r="I293" s="27" t="n">
        <v>7.48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2026-08-24T08:38:04Z</dcterms:created>
  <dc:creator>openpyxl</dc:creator>
  <dc:description/>
  <dc:language>en-US</dc:language>
  <cp:lastModifiedBy/>
  <dcterms:modified xsi:type="dcterms:W3CDTF">2026-08-24T08:38:11Z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